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a23c9df4e2a22051/Software/SEMESTRE VI/MICROSERVICIOS/Neptuno/docs/"/>
    </mc:Choice>
  </mc:AlternateContent>
  <xr:revisionPtr revIDLastSave="0" documentId="11_810B6D4AF79ADEAFFC8FAAFDF76A6CF9CBFA4096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Requerimientos" sheetId="1" r:id="rId1"/>
    <sheet name="Product Backlog" sheetId="2" r:id="rId2"/>
    <sheet name="Microservicios" sheetId="3" r:id="rId3"/>
    <sheet name="Sprint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3" i="4" l="1" a="1"/>
  <c r="E93" i="4"/>
  <c r="D93" i="4" a="1"/>
  <c r="D93" i="4"/>
  <c r="E92" i="4" a="1"/>
  <c r="E92" i="4"/>
  <c r="D92" i="4" a="1"/>
  <c r="D92" i="4"/>
  <c r="E91" i="4" a="1"/>
  <c r="E91" i="4"/>
  <c r="D91" i="4" a="1"/>
  <c r="D91" i="4"/>
  <c r="E90" i="4" a="1"/>
  <c r="E90" i="4"/>
  <c r="D90" i="4" a="1"/>
  <c r="D90" i="4"/>
  <c r="E89" i="4" a="1"/>
  <c r="E89" i="4"/>
  <c r="D89" i="4" a="1"/>
  <c r="D89" i="4"/>
  <c r="E88" i="4" a="1"/>
  <c r="E88" i="4"/>
  <c r="D88" i="4" a="1"/>
  <c r="D88" i="4"/>
  <c r="E87" i="4" a="1"/>
  <c r="E87" i="4"/>
  <c r="D87" i="4" a="1"/>
  <c r="D87" i="4"/>
  <c r="E86" i="4" a="1"/>
  <c r="E86" i="4"/>
  <c r="D86" i="4" a="1"/>
  <c r="D86" i="4"/>
  <c r="E85" i="4" a="1"/>
  <c r="E85" i="4"/>
  <c r="D85" i="4" a="1"/>
  <c r="D85" i="4"/>
  <c r="E84" i="4" a="1"/>
  <c r="E84" i="4"/>
  <c r="D84" i="4" a="1"/>
  <c r="D84" i="4"/>
  <c r="E83" i="4" a="1"/>
  <c r="E83" i="4"/>
  <c r="D83" i="4" a="1"/>
  <c r="D83" i="4"/>
  <c r="E82" i="4" a="1"/>
  <c r="E82" i="4"/>
  <c r="D82" i="4" a="1"/>
  <c r="D82" i="4"/>
  <c r="E81" i="4" a="1"/>
  <c r="E81" i="4"/>
  <c r="D81" i="4" a="1"/>
  <c r="D81" i="4"/>
  <c r="E80" i="4" a="1"/>
  <c r="E80" i="4"/>
  <c r="E94" i="4" s="1"/>
  <c r="D80" i="4" a="1"/>
  <c r="D80" i="4"/>
  <c r="E77" i="4" a="1"/>
  <c r="E77" i="4"/>
  <c r="D77" i="4" a="1"/>
  <c r="D77" i="4"/>
  <c r="E76" i="4" a="1"/>
  <c r="E76" i="4"/>
  <c r="D76" i="4" a="1"/>
  <c r="D76" i="4"/>
  <c r="E75" i="4" a="1"/>
  <c r="E75" i="4"/>
  <c r="D75" i="4" a="1"/>
  <c r="D75" i="4"/>
  <c r="E74" i="4" a="1"/>
  <c r="E74" i="4"/>
  <c r="D74" i="4" a="1"/>
  <c r="D74" i="4"/>
  <c r="E73" i="4" a="1"/>
  <c r="E73" i="4"/>
  <c r="D73" i="4" a="1"/>
  <c r="D73" i="4"/>
  <c r="E72" i="4" a="1"/>
  <c r="E72" i="4"/>
  <c r="D72" i="4" a="1"/>
  <c r="D72" i="4"/>
  <c r="E71" i="4" a="1"/>
  <c r="E71" i="4"/>
  <c r="D71" i="4" a="1"/>
  <c r="D71" i="4"/>
  <c r="E70" i="4" a="1"/>
  <c r="E70" i="4"/>
  <c r="D70" i="4" a="1"/>
  <c r="D70" i="4"/>
  <c r="E69" i="4" a="1"/>
  <c r="E69" i="4"/>
  <c r="D69" i="4" a="1"/>
  <c r="D69" i="4"/>
  <c r="E68" i="4" a="1"/>
  <c r="E68" i="4"/>
  <c r="D68" i="4" a="1"/>
  <c r="D68" i="4"/>
  <c r="E67" i="4" a="1"/>
  <c r="E67" i="4"/>
  <c r="D67" i="4" a="1"/>
  <c r="D67" i="4"/>
  <c r="E66" i="4" a="1"/>
  <c r="E66" i="4"/>
  <c r="D66" i="4" a="1"/>
  <c r="D66" i="4"/>
  <c r="E65" i="4" a="1"/>
  <c r="E65" i="4"/>
  <c r="D65" i="4" a="1"/>
  <c r="D65" i="4"/>
  <c r="E64" i="4" a="1"/>
  <c r="E64" i="4"/>
  <c r="E78" i="4" s="1"/>
  <c r="D64" i="4" a="1"/>
  <c r="D64" i="4" s="1"/>
  <c r="E63" i="4" a="1"/>
  <c r="E63" i="4"/>
  <c r="D63" i="4" a="1"/>
  <c r="D63" i="4"/>
  <c r="E62" i="4" a="1"/>
  <c r="E62" i="4"/>
  <c r="D62" i="4" a="1"/>
  <c r="D62" i="4"/>
  <c r="E61" i="4" a="1"/>
  <c r="E61" i="4"/>
  <c r="D61" i="4" a="1"/>
  <c r="D61" i="4"/>
  <c r="E60" i="4" a="1"/>
  <c r="E60" i="4"/>
  <c r="D60" i="4" a="1"/>
  <c r="D60" i="4"/>
  <c r="E59" i="4" a="1"/>
  <c r="E59" i="4"/>
  <c r="D59" i="4" a="1"/>
  <c r="D59" i="4"/>
  <c r="E58" i="4" a="1"/>
  <c r="E58" i="4"/>
  <c r="D58" i="4" a="1"/>
  <c r="D58" i="4"/>
  <c r="E57" i="4" a="1"/>
  <c r="E57" i="4"/>
  <c r="D57" i="4" a="1"/>
  <c r="D57" i="4"/>
  <c r="E56" i="4" a="1"/>
  <c r="E56" i="4"/>
  <c r="D56" i="4" a="1"/>
  <c r="D56" i="4"/>
  <c r="E55" i="4" a="1"/>
  <c r="E55" i="4"/>
  <c r="D55" i="4" a="1"/>
  <c r="D55" i="4"/>
  <c r="E54" i="4" a="1"/>
  <c r="E54" i="4"/>
  <c r="D54" i="4" a="1"/>
  <c r="D54" i="4"/>
  <c r="E53" i="4" a="1"/>
  <c r="E53" i="4"/>
  <c r="D53" i="4" a="1"/>
  <c r="D53" i="4"/>
  <c r="E50" i="4" a="1"/>
  <c r="E50" i="4"/>
  <c r="D50" i="4" a="1"/>
  <c r="D50" i="4"/>
  <c r="E49" i="4" a="1"/>
  <c r="E49" i="4"/>
  <c r="D49" i="4" a="1"/>
  <c r="D49" i="4"/>
  <c r="E48" i="4" a="1"/>
  <c r="E48" i="4"/>
  <c r="D48" i="4" a="1"/>
  <c r="D48" i="4"/>
  <c r="E47" i="4" a="1"/>
  <c r="E47" i="4"/>
  <c r="D47" i="4" a="1"/>
  <c r="D47" i="4"/>
  <c r="E46" i="4" a="1"/>
  <c r="E46" i="4"/>
  <c r="D46" i="4" a="1"/>
  <c r="D46" i="4"/>
  <c r="E45" i="4" a="1"/>
  <c r="E45" i="4"/>
  <c r="D45" i="4" a="1"/>
  <c r="D45" i="4"/>
  <c r="E44" i="4" a="1"/>
  <c r="E44" i="4"/>
  <c r="D44" i="4" a="1"/>
  <c r="D44" i="4"/>
  <c r="E43" i="4" a="1"/>
  <c r="E43" i="4"/>
  <c r="D43" i="4" a="1"/>
  <c r="D43" i="4"/>
  <c r="E42" i="4" a="1"/>
  <c r="E42" i="4"/>
  <c r="D42" i="4" a="1"/>
  <c r="D42" i="4" s="1"/>
  <c r="E41" i="4" a="1"/>
  <c r="E41" i="4" s="1"/>
  <c r="D41" i="4" a="1"/>
  <c r="D41" i="4" s="1"/>
  <c r="E40" i="4" a="1"/>
  <c r="E40" i="4" s="1"/>
  <c r="D40" i="4" a="1"/>
  <c r="D40" i="4" s="1"/>
  <c r="E39" i="4" a="1"/>
  <c r="E39" i="4" s="1"/>
  <c r="D39" i="4" a="1"/>
  <c r="D39" i="4" s="1"/>
  <c r="E38" i="4" a="1"/>
  <c r="E38" i="4"/>
  <c r="D38" i="4" a="1"/>
  <c r="D38" i="4"/>
  <c r="E37" i="4" a="1"/>
  <c r="E37" i="4" s="1"/>
  <c r="D37" i="4" a="1"/>
  <c r="D37" i="4" s="1"/>
  <c r="E36" i="4" a="1"/>
  <c r="E36" i="4" s="1"/>
  <c r="D36" i="4" a="1"/>
  <c r="D36" i="4" s="1"/>
  <c r="E35" i="4" a="1"/>
  <c r="E35" i="4" s="1"/>
  <c r="D35" i="4" a="1"/>
  <c r="D35" i="4" s="1"/>
  <c r="E34" i="4" a="1"/>
  <c r="E34" i="4" s="1"/>
  <c r="D34" i="4" a="1"/>
  <c r="D34" i="4" s="1"/>
  <c r="E33" i="4" a="1"/>
  <c r="E33" i="4" s="1"/>
  <c r="E51" i="4" s="1"/>
  <c r="D33" i="4" a="1"/>
  <c r="D33" i="4"/>
  <c r="E32" i="4" a="1"/>
  <c r="E32" i="4"/>
  <c r="D32" i="4" a="1"/>
  <c r="D32" i="4"/>
  <c r="E31" i="4" a="1"/>
  <c r="E31" i="4"/>
  <c r="D31" i="4" a="1"/>
  <c r="D31" i="4"/>
  <c r="E30" i="4" a="1"/>
  <c r="E30" i="4"/>
  <c r="D30" i="4" a="1"/>
  <c r="D30" i="4"/>
  <c r="E29" i="4" a="1"/>
  <c r="E29" i="4"/>
  <c r="D29" i="4" a="1"/>
  <c r="D29" i="4"/>
  <c r="E26" i="4" a="1"/>
  <c r="E26" i="4"/>
  <c r="D26" i="4" a="1"/>
  <c r="D26" i="4"/>
  <c r="E25" i="4" a="1"/>
  <c r="E25" i="4"/>
  <c r="D25" i="4" a="1"/>
  <c r="D25" i="4"/>
  <c r="E24" i="4" a="1"/>
  <c r="E24" i="4"/>
  <c r="D24" i="4" a="1"/>
  <c r="D24" i="4"/>
  <c r="E23" i="4" a="1"/>
  <c r="E23" i="4"/>
  <c r="D23" i="4" a="1"/>
  <c r="D23" i="4"/>
  <c r="E22" i="4" a="1"/>
  <c r="E22" i="4"/>
  <c r="D22" i="4" a="1"/>
  <c r="D22" i="4"/>
  <c r="E21" i="4" a="1"/>
  <c r="E21" i="4"/>
  <c r="D21" i="4" a="1"/>
  <c r="D21" i="4"/>
  <c r="E20" i="4" a="1"/>
  <c r="E20" i="4"/>
  <c r="D20" i="4" a="1"/>
  <c r="D20" i="4"/>
  <c r="E19" i="4" a="1"/>
  <c r="E19" i="4"/>
  <c r="D19" i="4" a="1"/>
  <c r="D19" i="4"/>
  <c r="E18" i="4" a="1"/>
  <c r="E18" i="4"/>
  <c r="D18" i="4" a="1"/>
  <c r="D18" i="4"/>
  <c r="E17" i="4" a="1"/>
  <c r="E17" i="4"/>
  <c r="D17" i="4" a="1"/>
  <c r="D17" i="4"/>
  <c r="E16" i="4" a="1"/>
  <c r="E16" i="4"/>
  <c r="D16" i="4" a="1"/>
  <c r="D16" i="4"/>
  <c r="E15" i="4" a="1"/>
  <c r="E15" i="4"/>
  <c r="D15" i="4" a="1"/>
  <c r="D15" i="4"/>
  <c r="E14" i="4" a="1"/>
  <c r="E14" i="4"/>
  <c r="D14" i="4" a="1"/>
  <c r="D14" i="4"/>
  <c r="E13" i="4" a="1"/>
  <c r="E13" i="4"/>
  <c r="D13" i="4" a="1"/>
  <c r="D13" i="4"/>
  <c r="E12" i="4" a="1"/>
  <c r="E12" i="4"/>
  <c r="D12" i="4" a="1"/>
  <c r="D12" i="4"/>
  <c r="E11" i="4" a="1"/>
  <c r="E11" i="4"/>
  <c r="D11" i="4" a="1"/>
  <c r="D11" i="4"/>
  <c r="E10" i="4" a="1"/>
  <c r="E10" i="4"/>
  <c r="D10" i="4" a="1"/>
  <c r="D10" i="4"/>
  <c r="E9" i="4" a="1"/>
  <c r="E9" i="4"/>
  <c r="D9" i="4" a="1"/>
  <c r="D9" i="4"/>
  <c r="E8" i="4" a="1"/>
  <c r="E8" i="4"/>
  <c r="D8" i="4" a="1"/>
  <c r="D8" i="4"/>
  <c r="E7" i="4" a="1"/>
  <c r="E7" i="4"/>
  <c r="D7" i="4" a="1"/>
  <c r="D7" i="4"/>
  <c r="E6" i="4" a="1"/>
  <c r="E6" i="4"/>
  <c r="D6" i="4" a="1"/>
  <c r="D6" i="4"/>
  <c r="E5" i="4" a="1"/>
  <c r="E5" i="4"/>
  <c r="D5" i="4" a="1"/>
  <c r="D5" i="4"/>
  <c r="E4" i="4" a="1"/>
  <c r="E4" i="4"/>
  <c r="D4" i="4" a="1"/>
  <c r="D4" i="4"/>
  <c r="E3" i="4" a="1"/>
  <c r="E3" i="4"/>
  <c r="E27" i="4" s="1"/>
  <c r="D3" i="4" a="1"/>
  <c r="D3" i="4"/>
  <c r="H6" i="3"/>
  <c r="G6" i="3"/>
  <c r="F6" i="3"/>
  <c r="I6" i="3" s="1"/>
  <c r="H5" i="3"/>
  <c r="G5" i="3"/>
  <c r="F5" i="3"/>
  <c r="I5" i="3" s="1"/>
  <c r="H4" i="3"/>
  <c r="G4" i="3"/>
  <c r="F4" i="3"/>
  <c r="I4" i="3" s="1"/>
  <c r="H3" i="3"/>
  <c r="H7" i="3" s="1"/>
  <c r="G3" i="3"/>
  <c r="G7" i="3" s="1"/>
  <c r="F3" i="3"/>
  <c r="E90" i="1"/>
  <c r="E89" i="1"/>
  <c r="E91" i="1" s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93" i="2"/>
  <c r="F92" i="2"/>
  <c r="F91" i="2"/>
  <c r="F90" i="2"/>
  <c r="F89" i="2"/>
  <c r="I3" i="3" l="1"/>
  <c r="F7" i="3"/>
  <c r="I7" i="3" s="1"/>
</calcChain>
</file>

<file path=xl/sharedStrings.xml><?xml version="1.0" encoding="utf-8"?>
<sst xmlns="http://schemas.openxmlformats.org/spreadsheetml/2006/main" count="1850" uniqueCount="763">
  <si>
    <t>PRODUCT BACKLOG - HISTORIAS DE USUARIO PRIORIZADAS</t>
  </si>
  <si>
    <t>ID</t>
  </si>
  <si>
    <t>Épica</t>
  </si>
  <si>
    <t>Título</t>
  </si>
  <si>
    <t>Rol</t>
  </si>
  <si>
    <t>Historia de usuario</t>
  </si>
  <si>
    <t>Estimación (SP)</t>
  </si>
  <si>
    <t>Prioridad</t>
  </si>
  <si>
    <t>RF / RNF asociado</t>
  </si>
  <si>
    <t>Sprint</t>
  </si>
  <si>
    <t>Depende de</t>
  </si>
  <si>
    <t>Microservicio</t>
  </si>
  <si>
    <t>Método HTTP</t>
  </si>
  <si>
    <t>Endpoint estimado</t>
  </si>
  <si>
    <t>Permiso requerido (RBAC)</t>
  </si>
  <si>
    <t>Estado</t>
  </si>
  <si>
    <t>Observaciones</t>
  </si>
  <si>
    <t>HU-001</t>
  </si>
  <si>
    <t>Autenticación y usuarios</t>
  </si>
  <si>
    <t>Iniciar sesión</t>
  </si>
  <si>
    <t>Usuario</t>
  </si>
  <si>
    <t>Como Usuario, quiero iniciar sesión con mis credenciales para acceder únicamente a lo que mi perfil permite.</t>
  </si>
  <si>
    <t>Alta</t>
  </si>
  <si>
    <t>RF-001</t>
  </si>
  <si>
    <t>SPRINT 1</t>
  </si>
  <si>
    <t>Ninguna (historia base)</t>
  </si>
  <si>
    <t>ms-auth-catalogs</t>
  </si>
  <si>
    <t>POST
POST
GET</t>
  </si>
  <si>
    <t>/auth/login
/auth/refrescar
/auth/sesion</t>
  </si>
  <si>
    <t>Público / sesión</t>
  </si>
  <si>
    <t>Implementado</t>
  </si>
  <si>
    <t>Emite JWT de acceso (30 min) y de refresco (12 h).</t>
  </si>
  <si>
    <t>HU-002</t>
  </si>
  <si>
    <t>Cerrar sesión</t>
  </si>
  <si>
    <t>Como Usuario, quiero cerrar mi sesión para evitar que otra persona use mi cuenta en un equipo compartido.</t>
  </si>
  <si>
    <t>Media</t>
  </si>
  <si>
    <t>RF-002</t>
  </si>
  <si>
    <t>POST</t>
  </si>
  <si>
    <t>/auth/logout</t>
  </si>
  <si>
    <t>Sesión</t>
  </si>
  <si>
    <t>Revoca el token de acceso y el de refresco.</t>
  </si>
  <si>
    <t>HU-003</t>
  </si>
  <si>
    <t>Crear usuario</t>
  </si>
  <si>
    <t>Administrador</t>
  </si>
  <si>
    <t>Como Administrador, quiero crear un usuario (nombre, correo, área y estado) para dar acceso al sistema a un nuevo integrante de la organización.</t>
  </si>
  <si>
    <t>RF-003</t>
  </si>
  <si>
    <t>HU-001, HU-016</t>
  </si>
  <si>
    <t>/usuarios</t>
  </si>
  <si>
    <t>usuarios:crear</t>
  </si>
  <si>
    <t>HU-004</t>
  </si>
  <si>
    <t>Editar usuario</t>
  </si>
  <si>
    <t>Como Administrador, quiero editar los datos de un usuario existente (nombre, correo, área) para mantener su información actualizada.</t>
  </si>
  <si>
    <t>RF-004</t>
  </si>
  <si>
    <t>PUT
PUT</t>
  </si>
  <si>
    <t>/usuarios/{id}
/usuarios/{id}/clave</t>
  </si>
  <si>
    <t>usuarios:editar</t>
  </si>
  <si>
    <t>HU-005</t>
  </si>
  <si>
    <t>Eliminar usuario</t>
  </si>
  <si>
    <t>Como Administrador, quiero eliminar un usuario mediante baja lógica para revocar su acceso sin perder su historial en la bitácora de auditoría.</t>
  </si>
  <si>
    <t>RF-005</t>
  </si>
  <si>
    <t>DELETE</t>
  </si>
  <si>
    <t>/usuarios/{id}</t>
  </si>
  <si>
    <t>usuarios:eliminar</t>
  </si>
  <si>
    <t>Baja lógica; protege al último administrador.</t>
  </si>
  <si>
    <t>HU-006</t>
  </si>
  <si>
    <t>Consultar y buscar usuarios</t>
  </si>
  <si>
    <t>Como Administrador, quiero consultar el listado de usuarios y filtrarlo por nombre, rol o estado para ubicar rápidamente al usuario que necesito administrar.</t>
  </si>
  <si>
    <t>RF-006</t>
  </si>
  <si>
    <t>GET
GET</t>
  </si>
  <si>
    <t>/usuarios?texto=&amp;rolId=&amp;estado=&amp;areaId=
/usuarios/{id}</t>
  </si>
  <si>
    <t>usuarios:consultar</t>
  </si>
  <si>
    <t>Paginado (pagina, tamano).</t>
  </si>
  <si>
    <t>HU-007</t>
  </si>
  <si>
    <t>Roles y permisos</t>
  </si>
  <si>
    <t>Crear rol</t>
  </si>
  <si>
    <t>Como Administrador, quiero crear un rol (ej. Radicador, Tesorero, Gerente) para agrupar los permisos de un perfil de la organización.</t>
  </si>
  <si>
    <t>RF-007</t>
  </si>
  <si>
    <t>/roles</t>
  </si>
  <si>
    <t>roles:crear</t>
  </si>
  <si>
    <t>HU-008</t>
  </si>
  <si>
    <t>Editar rol</t>
  </si>
  <si>
    <t>Como Administrador, quiero editar el nombre y la descripción de un rol para mantenerlo alineado con la estructura de la organización.</t>
  </si>
  <si>
    <t>RF-008</t>
  </si>
  <si>
    <t>PUT</t>
  </si>
  <si>
    <t>/roles/{id}</t>
  </si>
  <si>
    <t>roles:editar</t>
  </si>
  <si>
    <t>HU-009</t>
  </si>
  <si>
    <t>Eliminar rol</t>
  </si>
  <si>
    <t>Como Administrador, quiero eliminar un rol que ya no se use (sin usuarios asignados) para mantener limpio el catálogo de perfiles.</t>
  </si>
  <si>
    <t>RF-009</t>
  </si>
  <si>
    <t>roles:eliminar</t>
  </si>
  <si>
    <t>Solo roles sin usuarios asignados.</t>
  </si>
  <si>
    <t>HU-010</t>
  </si>
  <si>
    <t>Consultar roles</t>
  </si>
  <si>
    <t>Como Administrador, quiero consultar el listado de roles con sus permisos y usuarios asignados para tener visibilidad de quién puede hacer qué.</t>
  </si>
  <si>
    <t>RF-010</t>
  </si>
  <si>
    <t>GET
GET
GET</t>
  </si>
  <si>
    <t>/roles
/roles/{id}
/roles/{id}/usuarios</t>
  </si>
  <si>
    <t>roles:consultar</t>
  </si>
  <si>
    <t>HU-011</t>
  </si>
  <si>
    <t>Asignar permisos a un rol</t>
  </si>
  <si>
    <t>Como Administrador, quiero asignar o quitar permisos sobre funcionalidades a un rol para definir con precisión lo que puede hacer cada perfil.</t>
  </si>
  <si>
    <t>RF-011</t>
  </si>
  <si>
    <t>GET
PUT</t>
  </si>
  <si>
    <t>/permisos
/roles/{id}/permisos</t>
  </si>
  <si>
    <t>roles:asignar-permisos</t>
  </si>
  <si>
    <t>Invalida los tokens de acceso de los usuarios del rol.</t>
  </si>
  <si>
    <t>HU-012</t>
  </si>
  <si>
    <t>Asignar roles a un usuario</t>
  </si>
  <si>
    <t>Como Administrador, quiero asignar o quitar uno o varios roles a un usuario para determinar su nivel de acceso en el sistema.</t>
  </si>
  <si>
    <t>RF-012</t>
  </si>
  <si>
    <t>HU-003, HU-007</t>
  </si>
  <si>
    <t>/usuarios/{id}/roles</t>
  </si>
  <si>
    <t>usuarios:asignar-roles</t>
  </si>
  <si>
    <t>HU-013</t>
  </si>
  <si>
    <t>Restringir el acceso a funcionalidades por rol</t>
  </si>
  <si>
    <t>Sistema</t>
  </si>
  <si>
    <t>Como Sistema, quiero validar en cada solicitud los permisos del rol del usuario para impedir el acceso a funcionalidades no autorizadas.</t>
  </si>
  <si>
    <t>RF-013</t>
  </si>
  <si>
    <t>HU-011, HU-012</t>
  </si>
  <si>
    <t>—</t>
  </si>
  <si>
    <t>Transversal: filtro JWT + @PreAuthorize en cada endpoint</t>
  </si>
  <si>
    <t>Cada microservicio valida el JWT y el permiso del endpoint.</t>
  </si>
  <si>
    <t>HU-014</t>
  </si>
  <si>
    <t>Restringir el acceso a documentos por rol</t>
  </si>
  <si>
    <t>Como Sistema, quiero limitar la visibilidad de los documentos según el rol y el área del usuario para proteger la información sensible.</t>
  </si>
  <si>
    <t>RF-014</t>
  </si>
  <si>
    <t>HU-012, HU-016</t>
  </si>
  <si>
    <t>/interno/usuarios/{id}/contexto-acceso
/interno/usuarios/contextos</t>
  </si>
  <si>
    <t>Cabecera X-Servicio-Clave</t>
  </si>
  <si>
    <t>API interna: los demás servicios obtienen rol y área para filtrar documentos.</t>
  </si>
  <si>
    <t>HU-015</t>
  </si>
  <si>
    <t>Radicación documental</t>
  </si>
  <si>
    <t>Administrar catálogo de tipos documentales</t>
  </si>
  <si>
    <t>Como Administrador, quiero crear, editar y desactivar los tipos documentales (Factura, Orden de compra, Contrato, etc.) para clasificar correctamente cada radicado.</t>
  </si>
  <si>
    <t>RF-015</t>
  </si>
  <si>
    <t>SPRINT 2</t>
  </si>
  <si>
    <t>GET
POST
PUT
DELETE</t>
  </si>
  <si>
    <t>/tipos-documentales
/tipos-documentales
/tipos-documentales/{id}
/tipos-documentales/{id}</t>
  </si>
  <si>
    <t>catalogos:consultar / catalogos:administrar</t>
  </si>
  <si>
    <t>DELETE desactiva, no borra.</t>
  </si>
  <si>
    <t>HU-016</t>
  </si>
  <si>
    <t>Administrar catálogo de áreas</t>
  </si>
  <si>
    <t>Como Administrador, quiero crear, editar y desactivar las áreas de la organización para asignar cada documento y cada usuario al área que corresponde.</t>
  </si>
  <si>
    <t>RF-016</t>
  </si>
  <si>
    <t>/areas
/areas
/areas/{id}
/areas/{id}</t>
  </si>
  <si>
    <t>HU-017</t>
  </si>
  <si>
    <t>Registrar radicado con consecutivo único</t>
  </si>
  <si>
    <t>Radicador</t>
  </si>
  <si>
    <t>Como Radicador, quiero registrar un documento en el sistema para que se le asigne automáticamente un código de radicado único e inmutable con el formato AAAAMMDD + X + CONSECUTIVO, donde X identifica el origen del documento (1 = Interno, 2 = Externo, 3 = Recibido, 4 = No radicable).</t>
  </si>
  <si>
    <t>RF-017</t>
  </si>
  <si>
    <t>HU-015, HU-016, HU-022</t>
  </si>
  <si>
    <t>ms-document-management</t>
  </si>
  <si>
    <t>/radicados</t>
  </si>
  <si>
    <t>radicados:crear</t>
  </si>
  <si>
    <t>Pendiente</t>
  </si>
  <si>
    <t>El servidor genera el código AAAAMMDD+X+consecutivo; publica radicado.creado.</t>
  </si>
  <si>
    <t>HU-018</t>
  </si>
  <si>
    <t>Clasificar el radicado por origen</t>
  </si>
  <si>
    <t>Como Radicador, quiero clasificar el documento como Interno, Externo, Recibido o No radicable al radicarlo, habilitando los campos correspondientes según el origen seleccionado, para identificar de dónde proviene y qué requisitos de radicación aplican.</t>
  </si>
  <si>
    <t>RF-018</t>
  </si>
  <si>
    <t>Campo origen (INTERNO, EXTERNO, RECIBIDO, NO_RADICABLE); catálogo en GET /api/usuarios/catalogos/origenes.</t>
  </si>
  <si>
    <t>HU-019</t>
  </si>
  <si>
    <t>Capturar metadatos obligatorios</t>
  </si>
  <si>
    <t>Como Radicador, quiero diligenciar los metadatos obligatorios (título, fecha, resumen, tipo documental y área encargada) para que el documento quede correctamente descrito, sin permitir guardar con campos vacíos.</t>
  </si>
  <si>
    <t>RF-019</t>
  </si>
  <si>
    <t>POST
PUT</t>
  </si>
  <si>
    <t>/radicados
/radicados/{id}</t>
  </si>
  <si>
    <t>Valida obligatorios: 400 DATOS_INVALIDOS con el detalle por campo.</t>
  </si>
  <si>
    <t>HU-020</t>
  </si>
  <si>
    <t>Consultar el detalle de un radicado</t>
  </si>
  <si>
    <t>Usuario operativo</t>
  </si>
  <si>
    <t>Como Usuario operativo, quiero consultar el detalle de un radicado (metadatos, anexos y estado actual) para conocer toda la información del documento.</t>
  </si>
  <si>
    <t>RF-020</t>
  </si>
  <si>
    <t>GET</t>
  </si>
  <si>
    <t>/radicados/{id}</t>
  </si>
  <si>
    <t>radicados:consultar (nuevo)</t>
  </si>
  <si>
    <t>Incluye metadatos, anexos y estado del trámite.</t>
  </si>
  <si>
    <t>HU-021</t>
  </si>
  <si>
    <t>Editar metadatos de un radicado</t>
  </si>
  <si>
    <t>Como Radicador, quiero editar los metadatos de un radicado sin alterar su código para corregir errores de captura.</t>
  </si>
  <si>
    <t>RF-021</t>
  </si>
  <si>
    <t>HU-017, HU-019</t>
  </si>
  <si>
    <t>PATCH</t>
  </si>
  <si>
    <t>/radicados/{id}/metadatos</t>
  </si>
  <si>
    <t>radicados:editar</t>
  </si>
  <si>
    <t>El código del radicado es inmutable.</t>
  </si>
  <si>
    <t>HU-022</t>
  </si>
  <si>
    <t>Administrar entidades</t>
  </si>
  <si>
    <t>Como Radicador, quiero crear y consultar las entidades (NIT y Razón social) requeridas para radicar documentos de origen Recibido o para la generación de documentos de origen Externo.</t>
  </si>
  <si>
    <t>RF-022</t>
  </si>
  <si>
    <t>SPRINT 3</t>
  </si>
  <si>
    <t>/entidades?texto=
/entidades
/entidades/{id}
/entidades/{id}</t>
  </si>
  <si>
    <t>HU-023</t>
  </si>
  <si>
    <t>Listar y filtrar radicados</t>
  </si>
  <si>
    <t>Como Usuario operativo, quiero listar los radicados y filtrarlos por código, fecha, origen, tipo documental y área para encontrar rápidamente un documento.</t>
  </si>
  <si>
    <t>RF-023</t>
  </si>
  <si>
    <t>/radicados?codigo=&amp;desde=&amp;hasta=&amp;origen=&amp;tipoId=&amp;areaId=</t>
  </si>
  <si>
    <t>Paginado y filtrado por rol/área (HU-014).</t>
  </si>
  <si>
    <t>HU-024</t>
  </si>
  <si>
    <t>Restringir la radicación de Recibidos al rol Radicador</t>
  </si>
  <si>
    <t>Como Sistema, quiero permitir que únicamente los usuarios con rol Radicador registren documentos cuyo origen sea Recibido para garantizar que la radicación de correspondencia externa la realice el personal autorizado.</t>
  </si>
  <si>
    <t>RF-024</t>
  </si>
  <si>
    <t>HU-012, HU-018</t>
  </si>
  <si>
    <t>radicados:radicar-recibido</t>
  </si>
  <si>
    <t>Regla: origen RECIBIDO exige el permiso; si falta, 403.</t>
  </si>
  <si>
    <t>HU-025</t>
  </si>
  <si>
    <t>Anexos</t>
  </si>
  <si>
    <t>Adjuntar un archivo a un radicado</t>
  </si>
  <si>
    <t>Como Radicador, quiero adjuntar un archivo digital a un radicado para conservar la evidencia del documento físico en formato digital.</t>
  </si>
  <si>
    <t>RF-025</t>
  </si>
  <si>
    <t>/radicados/{id}/anexos</t>
  </si>
  <si>
    <t>anexos:cargar</t>
  </si>
  <si>
    <t>multipart/form-data; el archivo se guarda en MinIO por streaming.</t>
  </si>
  <si>
    <t>HU-026</t>
  </si>
  <si>
    <t>Validar el formato de los archivos</t>
  </si>
  <si>
    <t>Como Sistema, quiero aceptar únicamente archivos PDF, PNG, JPG, DOCX y XLSX para evitar la carga de formatos no permitidos.</t>
  </si>
  <si>
    <t>RF-026</t>
  </si>
  <si>
    <t>Valida extensión y MIME (PDF, PNG, JPG, DOCX, XLSX); si no, 415.</t>
  </si>
  <si>
    <t>HU-027</t>
  </si>
  <si>
    <t>Adjuntar múltiples archivos en una sola carga</t>
  </si>
  <si>
    <t>Como Radicador, quiero adjuntar varios archivos a la vez a un radicado para ahorrar tiempo cuando el trámite tiene varios soportes.</t>
  </si>
  <si>
    <t>RF-027</t>
  </si>
  <si>
    <t>HU-025, HU-026</t>
  </si>
  <si>
    <t>Mismo endpoint con varios archivos en el campo "archivos".</t>
  </si>
  <si>
    <t>HU-028</t>
  </si>
  <si>
    <t>Visualizar y descargar anexos</t>
  </si>
  <si>
    <t>Como Usuario operativo, quiero visualizar y descargar los anexos de un radicado para revisar el soporte del documento durante el trámite.</t>
  </si>
  <si>
    <t>RF-028</t>
  </si>
  <si>
    <t>/radicados/{id}/anexos
/anexos/{anexoId}/descarga</t>
  </si>
  <si>
    <t>La descarga redirige a una URL prefirmada de MinIO.</t>
  </si>
  <si>
    <t>HU-029</t>
  </si>
  <si>
    <t>Eliminar un anexo</t>
  </si>
  <si>
    <t>Como Radicador, quiero eliminar un anexo cargado por error para mantener solo los soportes correctos del radicado, dejando constancia en la bitácora.</t>
  </si>
  <si>
    <t>RF-029</t>
  </si>
  <si>
    <t>/anexos/{anexoId}</t>
  </si>
  <si>
    <t>anexos:eliminar</t>
  </si>
  <si>
    <t>Borrado lógico con motivo obligatorio; publica anexo.eliminado.</t>
  </si>
  <si>
    <t>HU-030</t>
  </si>
  <si>
    <t>Archivo y Expediente</t>
  </si>
  <si>
    <t>Crear estructura de carpetas por Área</t>
  </si>
  <si>
    <t>Como Administrador, quiero crear y organizar las carpetas principales del expediente asociadas a cada área de la empresa para estructurar el archivo institucional por área.</t>
  </si>
  <si>
    <t>RF-030</t>
  </si>
  <si>
    <t>POST
GET</t>
  </si>
  <si>
    <t>/carpetas
/carpetas?areaId=</t>
  </si>
  <si>
    <t>expediente:administrar (nuevo)</t>
  </si>
  <si>
    <t>Una carpeta raíz por área.</t>
  </si>
  <si>
    <t>HU-031</t>
  </si>
  <si>
    <t>Crear subcarpetas por Tipo de Expediente</t>
  </si>
  <si>
    <t>Como Administrador, quiero crear subcarpetas temáticas dentro de la carpeta de un área para clasificar los documentos del expediente según su tipo.</t>
  </si>
  <si>
    <t>RF-031</t>
  </si>
  <si>
    <t>/carpetas/{id}/subcarpetas</t>
  </si>
  <si>
    <t>HU-032</t>
  </si>
  <si>
    <t>Consultar Expediente Central</t>
  </si>
  <si>
    <t>Como Usuario operativo, quiero visualizar el expediente central en una vista de árbol con sus carpetas y documentos originales almacenados para ubicar y consultar rápidamente cualquier documento archivado.</t>
  </si>
  <si>
    <t>RF-032</t>
  </si>
  <si>
    <t>HU-030, HU-031</t>
  </si>
  <si>
    <t>/expediente/arbol
/carpetas/{id}/documentos</t>
  </si>
  <si>
    <t>expediente:ver</t>
  </si>
  <si>
    <t>HU-033</t>
  </si>
  <si>
    <t>Restringir acceso al Expediente por Rol (RBAC)</t>
  </si>
  <si>
    <t>Como Sistema, quiero filtrar la visibilidad de las carpetas y subcarpetas del expediente según los permisos del rol del usuario para proteger la información de cada área.</t>
  </si>
  <si>
    <t>RF-033</t>
  </si>
  <si>
    <t>HU-012, HU-032</t>
  </si>
  <si>
    <t>/expediente/arbol</t>
  </si>
  <si>
    <t>Regla: filtra carpetas con el contexto de /interno/usuarios/{id}/contexto-acceso.</t>
  </si>
  <si>
    <t>HU-034</t>
  </si>
  <si>
    <t>Cargar documento directo al Expediente (No radicable)</t>
  </si>
  <si>
    <t>Como Radicador, quiero subir un documento de origen No radicable directamente a una subcarpeta del expediente, asignándole su consecutivo correspondiente, para archivar soportes que no requieren trámite de flujo.</t>
  </si>
  <si>
    <t>RF-034</t>
  </si>
  <si>
    <t>HU-017, HU-031</t>
  </si>
  <si>
    <t>/carpetas/{id}/documentos</t>
  </si>
  <si>
    <t>expediente:cargar (nuevo)</t>
  </si>
  <si>
    <t>Documento No radicable con consecutivo propio de la carpeta.</t>
  </si>
  <si>
    <t>HU-035</t>
  </si>
  <si>
    <t>Plantillas y Generación Documental</t>
  </si>
  <si>
    <t>Cargar plantilla con variables</t>
  </si>
  <si>
    <t>Como Administrador, quiero subir un archivo de plantilla al sistema y definir sus etiquetas o variables dinámicas para reutilizarlo en la generación de documentos.</t>
  </si>
  <si>
    <t>RF-035</t>
  </si>
  <si>
    <t>POST
GET
PUT</t>
  </si>
  <si>
    <t>/plantillas
/plantillas
/plantillas/{id}/variables</t>
  </si>
  <si>
    <t>plantillas:administrar (nuevo)</t>
  </si>
  <si>
    <t>Plantilla DOCX guardada en MinIO.</t>
  </si>
  <si>
    <t>HU-036</t>
  </si>
  <si>
    <t>Asociar plantilla a tipo de origen</t>
  </si>
  <si>
    <t>Como Administrador, quiero vincular una plantilla únicamente a los orígenes Interno o Externo para que solo esté disponible en los trámites correspondientes.</t>
  </si>
  <si>
    <t>RF-036</t>
  </si>
  <si>
    <t>HU-035, HU-018</t>
  </si>
  <si>
    <t>/plantillas/{id}/origenes</t>
  </si>
  <si>
    <t>Solo orígenes INTERNO y EXTERNO.</t>
  </si>
  <si>
    <t>HU-037</t>
  </si>
  <si>
    <t>Renderizar datos en plantilla</t>
  </si>
  <si>
    <t>Como Radicador, quiero que el sistema reemplace automáticamente las variables de la plantilla elegida con los metadatos que ingreso para generar el documento sin diligenciarlo manualmente.</t>
  </si>
  <si>
    <t>RF-037</t>
  </si>
  <si>
    <t>HU-019, HU-035, HU-036</t>
  </si>
  <si>
    <t>/plantillas/{id}/render</t>
  </si>
  <si>
    <t>plantillas:usar (nuevo)</t>
  </si>
  <si>
    <t>Cuerpo: radicadoId; devuelve vista previa con las variables reemplazadas.</t>
  </si>
  <si>
    <t>HU-038</t>
  </si>
  <si>
    <t>Generar y exportar PDF desde plantilla</t>
  </si>
  <si>
    <t>Como Radicador, quiero convertir el documento renderizado en un archivo PDF final para dejarlo listo y radicarlo en el sistema.</t>
  </si>
  <si>
    <t>RF-038</t>
  </si>
  <si>
    <t>/radicados/{id}/pdf
/radicados/{id}/pdf</t>
  </si>
  <si>
    <t>Genera el PDF final y lo guarda como anexo.</t>
  </si>
  <si>
    <t>HU-039</t>
  </si>
  <si>
    <t>Orígenes y Manejo de Copias</t>
  </si>
  <si>
    <t>Capturar metadatos extendidos</t>
  </si>
  <si>
    <t>Como Radicador, quiero registrar metadatos extendidos (NIT, Entidad, Área, Nombre de carpeta y Comentarios) al radicar un documento para complementar la información base según el tipo de trámite.</t>
  </si>
  <si>
    <t>RF-039</t>
  </si>
  <si>
    <t>HU-019, HU-022</t>
  </si>
  <si>
    <t>/radicados/{id}/metadatos-extendidos</t>
  </si>
  <si>
    <t>NIT/entidad, área, carpeta y comentarios.</t>
  </si>
  <si>
    <t>HU-040</t>
  </si>
  <si>
    <t>Clasificar documento por Clase (Original/Copia)</t>
  </si>
  <si>
    <t>Como Radicador, quiero asignar el atributo de Clase (Original o Copia) a cada documento para diferenciar la pieza principal del trámite de sus duplicados.</t>
  </si>
  <si>
    <t>RF-040</t>
  </si>
  <si>
    <t>/radicados/{id}/clase</t>
  </si>
  <si>
    <t>radicados:clase</t>
  </si>
  <si>
    <t>ORIGINAL o COPIA.</t>
  </si>
  <si>
    <t>HU-041</t>
  </si>
  <si>
    <t>Enviar copias informativas a múltiples usuarios</t>
  </si>
  <si>
    <t>Como Radicador, quiero seleccionar uno o varios destinatarios para enviarles un duplicado (Clase = Copia) de un documento para mantenerlos informados sin alterar el trámite original.</t>
  </si>
  <si>
    <t>RF-041</t>
  </si>
  <si>
    <t>HU-040, HU-003</t>
  </si>
  <si>
    <t>/radicados/{id}/copias</t>
  </si>
  <si>
    <t>Cuerpo: destinatarios[]; publica copia.enviada.</t>
  </si>
  <si>
    <t>HU-042</t>
  </si>
  <si>
    <t>Visualizar copias en bandeja secundaria</t>
  </si>
  <si>
    <t>Como Usuario operativo, quiero ver las copias que he recibido en una sección separada de mi bandeja de entrada para consultarlas sin bloquear el avance del radicado original.</t>
  </si>
  <si>
    <t>RF-042</t>
  </si>
  <si>
    <t>GET
PATCH</t>
  </si>
  <si>
    <t>/copias/recibidas
/copias/{id}/leida</t>
  </si>
  <si>
    <t>Sesión (solo las propias)</t>
  </si>
  <si>
    <t>HU-043</t>
  </si>
  <si>
    <t>Bitácora y auditoría</t>
  </si>
  <si>
    <t>Registrar eventos en la bitácora</t>
  </si>
  <si>
    <t>Como Sistema, quiero registrar en la bitácora cada acción realizada sobre un documento (quién, qué y fecha/hora) para garantizar la trazabilidad completa.</t>
  </si>
  <si>
    <t>RF-043</t>
  </si>
  <si>
    <t>ms-audit-infra</t>
  </si>
  <si>
    <t>AMQP</t>
  </si>
  <si>
    <t>Consume la cola audit.infrastructure (exchange neptuno.eventos)</t>
  </si>
  <si>
    <t>Los demás servicios publican con patrón outbox (ya lo hace ms-auth-catalogs).</t>
  </si>
  <si>
    <t>HU-044</t>
  </si>
  <si>
    <t>Garantizar la inalterabilidad de la bitácora</t>
  </si>
  <si>
    <t>Como Sistema, quiero impedir que los registros de la bitácora se modifiquen o eliminen para asegurar su valor probatorio.</t>
  </si>
  <si>
    <t>RF-044</t>
  </si>
  <si>
    <t>/bitacora/verificacion</t>
  </si>
  <si>
    <t>bitacora:consultar</t>
  </si>
  <si>
    <t>Regla: sin PUT ni DELETE; registros encadenados por hash.</t>
  </si>
  <si>
    <t>HU-045</t>
  </si>
  <si>
    <t>Registrar cambios de estado y observaciones</t>
  </si>
  <si>
    <t>Como Sistema, quiero registrar cada cambio de estado del documento junto con las observaciones del responsable para saber quién aprobó, rechazó o devolvió y por qué.</t>
  </si>
  <si>
    <t>RF-045</t>
  </si>
  <si>
    <t>Consume tramite.estado-cambiado</t>
  </si>
  <si>
    <t>Guarda estado anterior, nuevo y observación del responsable.</t>
  </si>
  <si>
    <t>HU-046</t>
  </si>
  <si>
    <t>Consultar el historial de un documento</t>
  </si>
  <si>
    <t>Auditor</t>
  </si>
  <si>
    <t>Como Auditor, quiero consultar el historial completo de un documento en orden cronológico para reconstruir todo su recorrido.</t>
  </si>
  <si>
    <t>RF-046</t>
  </si>
  <si>
    <t>/bitacora/documentos/{radicadoId}</t>
  </si>
  <si>
    <t>Orden cronológico.</t>
  </si>
  <si>
    <t>HU-047</t>
  </si>
  <si>
    <t>Filtrar la bitácora por usuario, fecha y acción</t>
  </si>
  <si>
    <t>Como Auditor, quiero filtrar la bitácora por usuario, rango de fechas y tipo de acción para investigar eventos específicos.</t>
  </si>
  <si>
    <t>Baja</t>
  </si>
  <si>
    <t>RF-047</t>
  </si>
  <si>
    <t>HU-043, HU-046</t>
  </si>
  <si>
    <t>/bitacora?usuarioId=&amp;desde=&amp;hasta=&amp;accion=</t>
  </si>
  <si>
    <t>bitacora:filtrar</t>
  </si>
  <si>
    <t>Paginado.</t>
  </si>
  <si>
    <t>HU-048</t>
  </si>
  <si>
    <t>Diseñador de flujos</t>
  </si>
  <si>
    <t>Crear un flujo de trabajo</t>
  </si>
  <si>
    <t>Como Administrador, quiero crear un flujo de trabajo (nombre y descripción) para definir un nuevo circuito de aprobación de documentos.</t>
  </si>
  <si>
    <t>RF-048</t>
  </si>
  <si>
    <t>ms-workflow-bpm</t>
  </si>
  <si>
    <t>/flujos</t>
  </si>
  <si>
    <t>flujos:administrar (nuevo)</t>
  </si>
  <si>
    <t>HU-049</t>
  </si>
  <si>
    <t>Editar un flujo de trabajo</t>
  </si>
  <si>
    <t>Como Administrador, quiero editar los datos generales de un flujo (nombre y descripción) para mantenerlo actualizado, usuarios responsables</t>
  </si>
  <si>
    <t>RF-049</t>
  </si>
  <si>
    <t>/flujos/{id}</t>
  </si>
  <si>
    <t>HU-050</t>
  </si>
  <si>
    <t>Desactivar un flujo de trabajo</t>
  </si>
  <si>
    <t>Como Administrador, quiero eliminar (archivar) un flujo que no tenga documentos en tránsito para retirar circuitos obsoletos sin afectar trámites en curso.</t>
  </si>
  <si>
    <t>RF-050</t>
  </si>
  <si>
    <t>/flujos/{id}/desactivar</t>
  </si>
  <si>
    <t>409 si tiene trámites en curso.</t>
  </si>
  <si>
    <t>HU-051</t>
  </si>
  <si>
    <t>Consultar los flujos de trabajo</t>
  </si>
  <si>
    <t>Como Administrador, quiero consultar el listado de flujos con su estado (borrador, activo o archivado) para gestionarlos desde un solo lugar.</t>
  </si>
  <si>
    <t>RF-051</t>
  </si>
  <si>
    <t>/flujos?estado=
/flujos/{id}</t>
  </si>
  <si>
    <t>HU-052</t>
  </si>
  <si>
    <t>Visualizar el flujo en un lienzo gráfico</t>
  </si>
  <si>
    <t>Como Administrador, quiero ver el flujo en un lienzo gráfico con sus estados y transiciones para entender de un vistazo cómo circula un documento.</t>
  </si>
  <si>
    <t>RF-052</t>
  </si>
  <si>
    <t>/flujos/{id}/grafo</t>
  </si>
  <si>
    <t>Devuelve estados, transiciones y posiciones para el lienzo.</t>
  </si>
  <si>
    <t>HU-053</t>
  </si>
  <si>
    <t>Crear un estado</t>
  </si>
  <si>
    <t>Como Administrador, quiero agregar un estado (paso) al flujo desde el lienzo para definir una etapa del trámite.</t>
  </si>
  <si>
    <t>RF-053</t>
  </si>
  <si>
    <t>/flujos/{id}/estados</t>
  </si>
  <si>
    <t>HU-054</t>
  </si>
  <si>
    <t>Editar un estado</t>
  </si>
  <si>
    <t>Como Administrador, quiero editar el nombre y la descripción de un estado para ajustar las etapas del trámite.</t>
  </si>
  <si>
    <t>RF-054</t>
  </si>
  <si>
    <t>/flujos/{id}/estados/{estadoId}</t>
  </si>
  <si>
    <t>HU-055</t>
  </si>
  <si>
    <t>Definir estado inicial y estados finales</t>
  </si>
  <si>
    <t>Como Administrador, quiero marcar el estado inicial y los estados finales del flujo para que el sistema sepa dónde inicia y dónde termina un trámite.</t>
  </si>
  <si>
    <t>RF-055</t>
  </si>
  <si>
    <t>/flujos/{id}/estados/{estadoId}/tipo</t>
  </si>
  <si>
    <t>INICIAL, INTERMEDIO o FINAL; un solo inicial.</t>
  </si>
  <si>
    <t>HU-056</t>
  </si>
  <si>
    <t>Crear una transición</t>
  </si>
  <si>
    <t>Como Administrador, quiero crear una transición entre dos estados indicando la acción permitida (Aprobar, Rechazar o Devolver) y el estado de destino para controlar el ciclo de vida del trámite.</t>
  </si>
  <si>
    <t>RF-056</t>
  </si>
  <si>
    <t>/flujos/{id}/transiciones</t>
  </si>
  <si>
    <t>Acción + estado origen + estado destino.</t>
  </si>
  <si>
    <t>HU-057</t>
  </si>
  <si>
    <t>Editar una transición</t>
  </si>
  <si>
    <t>Como Administrador, quiero editar la acción y el estado de destino de una transición para corregir o ajustar el recorrido del documento.</t>
  </si>
  <si>
    <t>RF-057</t>
  </si>
  <si>
    <t>/flujos/{id}/transiciones/{transicionId}</t>
  </si>
  <si>
    <t>HU-058</t>
  </si>
  <si>
    <t>Eliminar una transición</t>
  </si>
  <si>
    <t>Como Administrador, quiero eliminar una transición que ya no aplique para depurar el recorrido del documento.</t>
  </si>
  <si>
    <t>RF-058</t>
  </si>
  <si>
    <t>HU-059</t>
  </si>
  <si>
    <t>Asignar roles o áreas a un estado</t>
  </si>
  <si>
    <t>Como Administrador, quiero asociar uno o más roles o áreas (ej. Radicador, Contabilidad, Gerencia) a un estado del flujo para que las tareas se asignen automáticamente a los perfiles correctos.</t>
  </si>
  <si>
    <t>RF-059</t>
  </si>
  <si>
    <t>HU-053, HU-007, HU-016</t>
  </si>
  <si>
    <t>/flujos/{id}/estados/{estadoId}/responsables</t>
  </si>
  <si>
    <t>Roles y áreas validados contra ms-auth-catalogs.</t>
  </si>
  <si>
    <t>HU-060</t>
  </si>
  <si>
    <t>Quitar roles o áreas de un estado</t>
  </si>
  <si>
    <t>Como Administrador, quiero quitar un rol o área asignado a un estado para reasignar la responsabilidad cuando cambie la organización.</t>
  </si>
  <si>
    <t>RF-060</t>
  </si>
  <si>
    <t>/flujos/{id}/estados/{estadoId}/responsables/{responsableId}</t>
  </si>
  <si>
    <t>HU-061</t>
  </si>
  <si>
    <t>Publicar un flujo</t>
  </si>
  <si>
    <t>Como Administrador, quiero publicar un flujo validando que esté completo (estado inicial, estados finales y sin pasos aislados) para habilitarlo en la operación sin errores de configuración.</t>
  </si>
  <si>
    <t>RF-061</t>
  </si>
  <si>
    <t>HU-055, HU-056, HU-059</t>
  </si>
  <si>
    <t>/flujos/{id}/publicar</t>
  </si>
  <si>
    <t>Valida que el flujo esté completo; si no, 422 con la lista de errores.</t>
  </si>
  <si>
    <t>HU-062</t>
  </si>
  <si>
    <t>Bandeja y ejecución de tareas</t>
  </si>
  <si>
    <t>Iniciar el trámite de un radicado en un flujo</t>
  </si>
  <si>
    <t>Como Radicador, quiero enviar un radicado a un flujo de trabajo activo para iniciar su recorrido de aprobación.</t>
  </si>
  <si>
    <t>RF-062</t>
  </si>
  <si>
    <t>HU-017, HU-061</t>
  </si>
  <si>
    <t>/tramites</t>
  </si>
  <si>
    <t>flujo:iniciar</t>
  </si>
  <si>
    <t>Cuerpo: radicadoId y flujoId; publica tramite.iniciado.</t>
  </si>
  <si>
    <t>HU-063</t>
  </si>
  <si>
    <t>Ver la bandeja de tareas pendientes</t>
  </si>
  <si>
    <t>Como Usuario operativo, quiero ver una bandeja con los documentos pendientes de mi rol o área para saber qué debo procesar.</t>
  </si>
  <si>
    <t>RF-063</t>
  </si>
  <si>
    <t>HU-059, HU-062</t>
  </si>
  <si>
    <t>/tareas/pendientes</t>
  </si>
  <si>
    <t>Sesión (rol y área del usuario)</t>
  </si>
  <si>
    <t>HU-064</t>
  </si>
  <si>
    <t>Filtrar y ordenar la bandeja</t>
  </si>
  <si>
    <t>Como Usuario operativo, quiero filtrar y ordenar mi bandeja por fecha, tipo documental y origen para priorizar mi trabajo.</t>
  </si>
  <si>
    <t>RF-064</t>
  </si>
  <si>
    <t>/tareas/pendientes?orden=&amp;tipoId=&amp;origen=&amp;desde=&amp;hasta=</t>
  </si>
  <si>
    <t>HU-065</t>
  </si>
  <si>
    <t>Abrir un documento desde la bandeja</t>
  </si>
  <si>
    <t>Como Usuario operativo, quiero abrir una tarea para ver los metadatos y anexos del documento antes de decidir.</t>
  </si>
  <si>
    <t>RF-065</t>
  </si>
  <si>
    <t>/tareas/{id}</t>
  </si>
  <si>
    <t>Compone el detalle con GET /api/documentos/radicados/{id}.</t>
  </si>
  <si>
    <t>HU-066</t>
  </si>
  <si>
    <t>Aprobar un documento</t>
  </si>
  <si>
    <t>Como Usuario operativo, quiero aprobar un documento para que avance al siguiente estado del flujo.</t>
  </si>
  <si>
    <t>RF-066</t>
  </si>
  <si>
    <t>HU-056, HU-065</t>
  </si>
  <si>
    <t>/tareas/{id}/aprobar</t>
  </si>
  <si>
    <t>flujo:aprobar</t>
  </si>
  <si>
    <t>Avanza por la transición; publica tramite.estado-cambiado.</t>
  </si>
  <si>
    <t>HU-067</t>
  </si>
  <si>
    <t>Cancelar un documento</t>
  </si>
  <si>
    <t>Como Usuario operativo, quiero rechazar un documento indicando una observación obligatoria para que quede claro el motivo del rechazo.</t>
  </si>
  <si>
    <t>RF-067</t>
  </si>
  <si>
    <t>/tareas/{id}/cancelar</t>
  </si>
  <si>
    <t>flujo:rechazar</t>
  </si>
  <si>
    <t>Observación obligatoria.</t>
  </si>
  <si>
    <t>HU-068</t>
  </si>
  <si>
    <t>Devolver un documento al estado anterior</t>
  </si>
  <si>
    <t>Como Usuario operativo, quiero devolver un documento al estado anterior con observaciones para que se corrijan las inconsistencias encontradas.</t>
  </si>
  <si>
    <t>RF-068</t>
  </si>
  <si>
    <t>/tareas/{id}/devolver</t>
  </si>
  <si>
    <t>Vuelve al estado anterior con observación.</t>
  </si>
  <si>
    <t>HU-069</t>
  </si>
  <si>
    <t>Control y Tiempos de Flujo (BPM)</t>
  </si>
  <si>
    <t>Asignar responsable a un paso (Usuario/Grupo/Rol)</t>
  </si>
  <si>
    <t>Como Administrador, quiero configurar en el diseñador si un nodo del flujo será atendido por una persona, un grupo o un rol para adaptar la asignación de tareas a la estructura del área responsable.</t>
  </si>
  <si>
    <t>RF-069</t>
  </si>
  <si>
    <t>SPRINT 4</t>
  </si>
  <si>
    <t>HU-053, HU-059</t>
  </si>
  <si>
    <t>/flujos/{id}/estados/{estadoId}/responsable</t>
  </si>
  <si>
    <t>Tipo USUARIO, GRUPO o ROL.</t>
  </si>
  <si>
    <t>HU-070</t>
  </si>
  <si>
    <t>Tomar tarea de un grupo/rol (Claim)</t>
  </si>
  <si>
    <t>Como Usuario operativo, quiero tomar la responsabilidad de un documento en cola para asignármelo a mí mismo de forma exclusiva y evitar que otro integrante del área lo procese simultáneamente.</t>
  </si>
  <si>
    <t>RF-070</t>
  </si>
  <si>
    <t>HU-063, HU-069</t>
  </si>
  <si>
    <t>POST
POST</t>
  </si>
  <si>
    <t>/tareas/{id}/tomar
/tareas/{id}/liberar</t>
  </si>
  <si>
    <t>Sesión (rol y área del paso)</t>
  </si>
  <si>
    <t>409 si otro usuario ya la tomó.</t>
  </si>
  <si>
    <t>HU-071</t>
  </si>
  <si>
    <t>Bloquear tenencia única del Original</t>
  </si>
  <si>
    <t>Como Sistema, quiero impedir que más de un usuario tenga en posesión o edite el documento original mientras esté en un paso del flujo para evitar ediciones simultáneas o pérdida de información.</t>
  </si>
  <si>
    <t>RF-071</t>
  </si>
  <si>
    <t>HU-062, HU-070</t>
  </si>
  <si>
    <t>/tareas/{id}/tomar</t>
  </si>
  <si>
    <t>Regla: tenencia única del Original con bloqueo optimista (versión).</t>
  </si>
  <si>
    <t>HU-072</t>
  </si>
  <si>
    <t>Configurar tiempo límite general del flujo</t>
  </si>
  <si>
    <t>Como Administrador, quiero definir la duración máxima global (en horas o días) para completar todo el trámite de un flujo para establecer el tiempo esperado de respuesta institucional.</t>
  </si>
  <si>
    <t>RF-072</t>
  </si>
  <si>
    <t>/flujos/{id}/sla</t>
  </si>
  <si>
    <t>Duración máxima del trámite completo.</t>
  </si>
  <si>
    <t>HU-073</t>
  </si>
  <si>
    <t>Configurar tiempo límite por paso</t>
  </si>
  <si>
    <t>Como Administrador, quiero definir la duración máxima permitida para resolver un nodo específico del flujo para controlar los tiempos de cada área dentro del trámite.</t>
  </si>
  <si>
    <t>RF-073</t>
  </si>
  <si>
    <t>/flujos/{id}/estados/{estadoId}/sla</t>
  </si>
  <si>
    <t>Duración máxima de cada paso.</t>
  </si>
  <si>
    <t>HU-074</t>
  </si>
  <si>
    <t>Visualizar alertas de vencimiento (SLA)</t>
  </si>
  <si>
    <t>Como Usuario operativo, quiero ver indicadores de color (verde, amarillo, rojo) en mi bandeja de tareas según el tiempo restante para priorizar los documentos próximos a vencer.</t>
  </si>
  <si>
    <t>RF-074</t>
  </si>
  <si>
    <t>HU-063, HU-072, HU-073</t>
  </si>
  <si>
    <t>/tareas/pendientes
/tareas/vencidas</t>
  </si>
  <si>
    <t>Cada tarea trae el campo semaforo: VERDE, AMARILLO o ROJO.</t>
  </si>
  <si>
    <t>HU-075</t>
  </si>
  <si>
    <t>Firma electrónica</t>
  </si>
  <si>
    <t>Aplicar firma electrónica a un documento</t>
  </si>
  <si>
    <t>Gerente / Aprobador</t>
  </si>
  <si>
    <t>Como Gerente / Aprobador, quiero aplicar mi firma digital/electrónica a un documento autorizado para formalizar la aprobación ejecutiva (ej. contratos y órdenes de compra).</t>
  </si>
  <si>
    <t>RF-075</t>
  </si>
  <si>
    <t>HU-066, HU-076</t>
  </si>
  <si>
    <t>/tareas/{id}/firmar</t>
  </si>
  <si>
    <t>firma:aplicar</t>
  </si>
  <si>
    <t>Publica documento.firmado.</t>
  </si>
  <si>
    <t>HU-076</t>
  </si>
  <si>
    <t>Configurar los estados que requieren firma</t>
  </si>
  <si>
    <t>Como Administrador, quiero marcar en el flujo los estados que exigen firma para que la aprobación no se complete sin ella.</t>
  </si>
  <si>
    <t>RF-076</t>
  </si>
  <si>
    <t>/flujos/{id}/estados/{estadoId}/requiere-firma</t>
  </si>
  <si>
    <t>HU-077</t>
  </si>
  <si>
    <t>Visualizar las firmas de un documento</t>
  </si>
  <si>
    <t>Como Usuario, quiero ver quién firmó un documento y cuándo lo hizo para verificar que la aprobación fue formalizada.</t>
  </si>
  <si>
    <t>RF-077</t>
  </si>
  <si>
    <t>/tramites/{id}/firmas</t>
  </si>
  <si>
    <t>Quién firmó y cuándo.</t>
  </si>
  <si>
    <t>HU-078</t>
  </si>
  <si>
    <t>Versionamiento de flujos</t>
  </si>
  <si>
    <t>Crear una nueva versión de un flujo activo</t>
  </si>
  <si>
    <t>Como Administrador, quiero crear una nueva versión de un flujo activo para introducir cambios sin modificar el flujo que está en operación.</t>
  </si>
  <si>
    <t>RF-078</t>
  </si>
  <si>
    <t>/flujos/{id}/versiones</t>
  </si>
  <si>
    <t>HU-079</t>
  </si>
  <si>
    <t>Mantener los trámites en curso en su versión original</t>
  </si>
  <si>
    <t>Como Sistema, quiero que los documentos en tránsito continúen con la versión del flujo con la que iniciaron para mantener la retrocompatibilidad operativa.</t>
  </si>
  <si>
    <t>RF-079</t>
  </si>
  <si>
    <t>HU-062, HU-078</t>
  </si>
  <si>
    <t>Regla del motor (sin endpoint propio)</t>
  </si>
  <si>
    <t>Cada trámite guarda flujoVersionId y sigue esa versión.</t>
  </si>
  <si>
    <t>HU-080</t>
  </si>
  <si>
    <t>Consultar el historial de versiones de un flujo</t>
  </si>
  <si>
    <t>Como Administrador, quiero consultar las versiones de un flujo con su fecha y autor para saber qué cambió y cuál está vigente.</t>
  </si>
  <si>
    <t>RF-080</t>
  </si>
  <si>
    <t>Fecha y autor de cada versión.</t>
  </si>
  <si>
    <t>HU-081</t>
  </si>
  <si>
    <t>Requerimientos no funcionales</t>
  </si>
  <si>
    <t>Configurar copias de seguridad periódicas</t>
  </si>
  <si>
    <t>Como Administrador, quiero configurar copias de seguridad periódicas de documentos y bitácora para garantizar su integridad ante fallas.</t>
  </si>
  <si>
    <t>RF-081</t>
  </si>
  <si>
    <t>/respaldos
/respaldos/programacion</t>
  </si>
  <si>
    <t>respaldos:administrar (nuevo)</t>
  </si>
  <si>
    <t>HU-082</t>
  </si>
  <si>
    <t>Restaurar información desde una copia de seguridad</t>
  </si>
  <si>
    <t>Como Administrador, quiero restaurar documentos y bitácora desde una copia de seguridad para recuperar el servicio tras una falla.</t>
  </si>
  <si>
    <t>RF-082</t>
  </si>
  <si>
    <t>/respaldos/{id}/restaurar</t>
  </si>
  <si>
    <t>Requiere confirmación; queda en la bitácora.</t>
  </si>
  <si>
    <t>HU-083</t>
  </si>
  <si>
    <t>Adaptar consulta y aprobación a dispositivos móviles</t>
  </si>
  <si>
    <t>Como Gerente / Aprobador, quiero consultar y aprobar documentos desde mi celular para no depender de un equipo de escritorio.</t>
  </si>
  <si>
    <t>RF-083</t>
  </si>
  <si>
    <t>HU-063, HU-066</t>
  </si>
  <si>
    <t>Frontend responsive (sin endpoint propio)</t>
  </si>
  <si>
    <t>Reutiliza GET /tareas/pendientes y POST /tareas/{id}/aprobar.</t>
  </si>
  <si>
    <t>HU-084</t>
  </si>
  <si>
    <t>Verificar los tiempos de respuesta</t>
  </si>
  <si>
    <t>Equipo de desarrollo</t>
  </si>
  <si>
    <t>Como Equipo de desarrollo, quiero medir y optimizar la carga de la interfaz y la transición de estados para cumplir el límite de 2 segundos.</t>
  </si>
  <si>
    <t>RF-084</t>
  </si>
  <si>
    <t>Transversal</t>
  </si>
  <si>
    <t>/metricas</t>
  </si>
  <si>
    <t>Interno (monitoreo)</t>
  </si>
  <si>
    <t>Métricas Prometheus de cada servicio; objetivo p95 &lt; 2 s.</t>
  </si>
  <si>
    <t>HU-085</t>
  </si>
  <si>
    <t>Verificar la concurrencia de usuarios</t>
  </si>
  <si>
    <t>Como Equipo de desarrollo, quiero ejecutar pruebas de carga con el número mínimo de usuarios concurrentes (N por definir) para confirmar que no hay degradación del rendimiento.</t>
  </si>
  <si>
    <t>RF-085</t>
  </si>
  <si>
    <t>Prueba de carga (k6 / Gatling), sin endpoint propio</t>
  </si>
  <si>
    <t>Ejecuta N usuarios concurrentes contra los endpoints críticos.</t>
  </si>
  <si>
    <t>Total Story Points del backlog</t>
  </si>
  <si>
    <t>Story Points de prioridad Alta</t>
  </si>
  <si>
    <t>Story Points de prioridad Media</t>
  </si>
  <si>
    <t>Story Points de prioridad Baja</t>
  </si>
  <si>
    <t>Total historias de usuario</t>
  </si>
  <si>
    <t>Neptuno (Sistema de Gestión Documental) - ESPECIFICACIÓN DE REQUERIMIENTOS</t>
  </si>
  <si>
    <t>Código</t>
  </si>
  <si>
    <t>Tipo</t>
  </si>
  <si>
    <t>Categoría</t>
  </si>
  <si>
    <t>Nombre</t>
  </si>
  <si>
    <t>Descripción</t>
  </si>
  <si>
    <t>Historias asociadas</t>
  </si>
  <si>
    <t>Funcional</t>
  </si>
  <si>
    <t>El sistema debe permitir al Usuario iniciar sesión con sus credenciales para acceder únicamente a lo que su perfil permite.</t>
  </si>
  <si>
    <t>El sistema debe permitir al Usuario cerrar su sesión para evitar que otra persona use su cuenta en un equipo compartido.</t>
  </si>
  <si>
    <t>El sistema debe permitir al Administrador crear un usuario (nombre, correo, área y estado) para dar acceso al sistema a un nuevo integrante de la organización.</t>
  </si>
  <si>
    <t>El sistema debe permitir al Administrador editar los datos de un usuario existente (nombre, correo, área) para mantener su información actualizada.</t>
  </si>
  <si>
    <t>El sistema debe permitir al Administrador eliminar un usuario mediante baja lógica para revocar su acceso sin perder su historial en la bitácora de auditoría.</t>
  </si>
  <si>
    <t>El sistema debe permitir al Administrador consultar el listado de usuarios y filtrarlo por nombre, rol o estado para ubicar rápidamente al usuario que necesita administrar.</t>
  </si>
  <si>
    <t>El sistema debe permitir al Administrador crear un rol (ej. Radicador, Tesorero, Gerente) para agrupar los permisos de un perfil de la organización.</t>
  </si>
  <si>
    <t>El sistema debe permitir al Administrador editar el nombre y la descripción de un rol para mantenerlo alineado con la estructura de la organización.</t>
  </si>
  <si>
    <t>El sistema debe permitir al Administrador eliminar un rol que ya no se use (sin usuarios asignados) para mantener limpio el catálogo de perfiles.</t>
  </si>
  <si>
    <t>El sistema debe permitir al Administrador consultar el listado de roles con sus permisos y usuarios asignados para tener visibilidad de quién puede hacer qué.</t>
  </si>
  <si>
    <t>El sistema debe permitir al Administrador asignar o quitar permisos sobre funcionalidades a un rol para definir con precisión lo que puede hacer cada perfil.</t>
  </si>
  <si>
    <t>El sistema debe permitir al Administrador asignar o quitar uno o varios roles a un usuario para determinar su nivel de acceso en el sistema.</t>
  </si>
  <si>
    <t>El sistema debe validar en cada solicitud los permisos del rol del usuario para impedir el acceso a funcionalidades no autorizadas.</t>
  </si>
  <si>
    <t>El sistema debe limitar la visibilidad de los documentos según el rol y el área del usuario para proteger la información sensible.</t>
  </si>
  <si>
    <t>El sistema debe permitir al Administrador crear, editar y desactivar los tipos documentales (Factura, Orden de compra, Contrato, etc.) para clasificar correctamente cada radicado.</t>
  </si>
  <si>
    <t>El sistema debe permitir al Administrador crear, editar y desactivar las áreas de la organización para asignar cada documento y cada usuario al área que corresponde.</t>
  </si>
  <si>
    <t>El sistema debe permitir al Radicador registrar un documento en el sistema para que se le asigne automáticamente un código de radicado único e inmutable con el formato AAAAMMDD + X + CONSECUTIVO, donde X identifica el origen del documento (1 = Interno, 2 = Externo, 3 = Recibido, 4 = No radicable).</t>
  </si>
  <si>
    <t>El sistema debe permitir al Radicador clasificar el documento como Interno, Externo, Recibido o No radicable al radicarlo, habilitando los campos correspondientes según el origen seleccionado, para identificar de dónde proviene y qué requisitos de radicación aplican.</t>
  </si>
  <si>
    <t>El sistema debe permitir al Radicador diligenciar los metadatos obligatorios (título, fecha, resumen, tipo documental y área encargada) para que el documento quede correctamente descrito, sin permitir guardar con campos vacíos.</t>
  </si>
  <si>
    <t>El sistema debe permitir al Usuario operativo consultar el detalle de un radicado (metadatos, anexos y estado actual) para conocer toda la información del documento.</t>
  </si>
  <si>
    <t>El sistema debe permitir al Radicador editar los metadatos de un radicado sin alterar su código para corregir errores de captura.</t>
  </si>
  <si>
    <t>El sistema debe permitir al Radicador crear y consultar las entidades (NIT y Razón social) requeridas para radicar documentos de origen Recibido o para la generación de documentos de origen Externo.</t>
  </si>
  <si>
    <t>El sistema debe permitir al Usuario operativo listar los radicados y filtrarlos por código, fecha, origen, tipo documental y área para encontrar rápidamente un documento.</t>
  </si>
  <si>
    <t>El sistema debe permitir que únicamente los usuarios con rol Radicador registren documentos cuyo origen sea Recibido para garantizar que la radicación de correspondencia externa la realice el personal autorizado.</t>
  </si>
  <si>
    <t>El sistema debe permitir al Radicador adjuntar un archivo digital a un radicado para conservar la evidencia del documento físico en formato digital.</t>
  </si>
  <si>
    <t>El sistema debe aceptar únicamente archivos PDF, PNG, JPG, DOCX y XLSX para evitar la carga de formatos no permitidos.</t>
  </si>
  <si>
    <t>El sistema debe permitir al Radicador adjuntar varios archivos a la vez a un radicado para ahorrar tiempo cuando el trámite tiene varios soportes.</t>
  </si>
  <si>
    <t>El sistema debe permitir al Usuario operativo visualizar y descargar los anexos de un radicado para revisar el soporte del documento durante el trámite.</t>
  </si>
  <si>
    <t>El sistema debe permitir al Radicador eliminar un anexo cargado por error para mantener solo los soportes correctos del radicado, dejando constancia en la bitácora.</t>
  </si>
  <si>
    <t>El sistema debe permitir al Administrador crear y organizar las carpetas principales del expediente asociadas a cada área de la empresa para estructurar el archivo institucional por área.</t>
  </si>
  <si>
    <t>El sistema debe permitir al Administrador crear subcarpetas temáticas dentro de la carpeta de un área para clasificar los documentos del expediente según su tipo.</t>
  </si>
  <si>
    <t>El sistema debe permitir al Usuario operativo visualizar el expediente central en una vista de árbol con sus carpetas y documentos originales almacenados para ubicar y consultar rápidamente cualquier documento archivado.</t>
  </si>
  <si>
    <t>El sistema debe filtrar la visibilidad de las carpetas y subcarpetas del expediente según los permisos del rol del usuario para proteger la información de cada área.</t>
  </si>
  <si>
    <t>El sistema debe permitir al Radicador subir un documento de origen No radicable directamente a una subcarpeta del expediente, asignándole su consecutivo correspondiente, para archivar soportes que no requieren trámite de flujo.</t>
  </si>
  <si>
    <t>El sistema debe permitir al Administrador subir un archivo de plantilla al sistema y definir sus etiquetas o variables dinámicas para reutilizarlo en la generación de documentos.</t>
  </si>
  <si>
    <t>El sistema debe permitir al Administrador vincular una plantilla únicamente a los orígenes Interno o Externo para que solo esté disponible en los trámites correspondientes.</t>
  </si>
  <si>
    <t>El sistema debe reemplazar automáticamente, en la plantilla elegida por el Radicador, las variables por los metadatos ingresados, para generar el documento sin necesidad de diligenciarlo manualmente.</t>
  </si>
  <si>
    <t>El sistema debe permitir al Radicador convertir el documento renderizado en un archivo PDF final para dejarlo listo y radicarlo en el sistema.</t>
  </si>
  <si>
    <t>El sistema debe permitir al Radicador registrar metadatos extendidos (NIT, Entidad, Área, Nombre de carpeta y Comentarios) al radicar un documento para complementar la información base según el tipo de trámite.</t>
  </si>
  <si>
    <t>El sistema debe permitir al Radicador asignar el atributo de Clase (Original o Copia) a cada documento para diferenciar la pieza principal del trámite de sus duplicados.</t>
  </si>
  <si>
    <t>El sistema debe permitir al Radicador seleccionar uno o varios destinatarios para enviarles un duplicado (Clase = Copia) de un documento para mantenerlos informados sin alterar el trámite original.</t>
  </si>
  <si>
    <t>El sistema debe permitir al Usuario operativo ver las copias que ha recibido en una sección separada de su bandeja de entrada para consultarlas sin bloquear el avance del radicado original.</t>
  </si>
  <si>
    <t>El sistema debe registrar en la bitácora cada acción realizada sobre un documento (quién, qué y fecha/hora) para garantizar la trazabilidad completa.</t>
  </si>
  <si>
    <t>El sistema debe impedir que los registros de la bitácora se modifiquen o eliminen para asegurar su valor probatorio.</t>
  </si>
  <si>
    <t>El sistema debe registrar cada cambio de estado del documento junto con las observaciones del responsable para saber quién aprobó, rechazó o devolvió y por qué.</t>
  </si>
  <si>
    <t>El sistema debe permitir al Auditor consultar el historial completo de un documento en orden cronológico para reconstruir todo su recorrido.</t>
  </si>
  <si>
    <t>El sistema debe permitir al Auditor filtrar la bitácora por usuario, rango de fechas y tipo de acción para investigar eventos específicos.</t>
  </si>
  <si>
    <t>El sistema debe permitir al Administrador crear un flujo de trabajo (nombre y descripción) para definir un nuevo circuito de aprobación de documentos.</t>
  </si>
  <si>
    <t>El sistema debe permitir al Administrador editar los datos generales de un flujo (nombre y descripción) para mantenerlo actualizado.</t>
  </si>
  <si>
    <t>El sistema debe permitir al Administrador eliminar (archivar) un flujo que no tenga documentos en tránsito para retirar circuitos obsoletos sin afectar trámites en curso.</t>
  </si>
  <si>
    <t>El sistema debe permitir al Administrador consultar el listado de flujos con su estado (borrador, activo o archivado) para gestionarlos desde un solo lugar.</t>
  </si>
  <si>
    <t>El sistema debe permitir al Administrador ver el flujo en un lienzo gráfico con sus estados y transiciones para entender de un vistazo cómo circula un documento.</t>
  </si>
  <si>
    <t>El sistema debe permitir al Administrador agregar un estado (paso) al flujo desde el lienzo para definir una etapa del trámite.</t>
  </si>
  <si>
    <t>El sistema debe permitir al Administrador editar el nombre y la descripción de un estado para ajustar las etapas del trámite.</t>
  </si>
  <si>
    <t>El sistema debe permitir al Administrador marcar el estado inicial y los estados finales del flujo para que el sistema sepa dónde inicia y dónde termina un trámite.</t>
  </si>
  <si>
    <t>El sistema debe permitir al Administrador crear una transición entre dos estados indicando la acción permitida (Aprobar, Rechazar o Devolver) y el estado de destino para controlar el ciclo de vida del trámite.</t>
  </si>
  <si>
    <t>El sistema debe permitir al Administrador editar la acción y el estado de destino de una transición para corregir o ajustar el recorrido del documento.</t>
  </si>
  <si>
    <t>El sistema debe permitir al Administrador eliminar una transición que ya no aplique para depurar el recorrido del documento.</t>
  </si>
  <si>
    <t>El sistema debe permitir al Administrador asociar uno o más roles o áreas (ej. Radicador, Contabilidad, Gerencia) a un estado del flujo para que las tareas se asignen automáticamente a los perfiles correctos.</t>
  </si>
  <si>
    <t>El sistema debe permitir al Administrador quitar un rol o área asignado a un estado para reasignar la responsabilidad cuando cambie la organización.</t>
  </si>
  <si>
    <t>El sistema debe permitir al Administrador publicar un flujo validando que esté completo (estado inicial, estados finales y sin pasos aislados) para habilitarlo en la operación sin errores de configuración.</t>
  </si>
  <si>
    <t>El sistema debe permitir al Radicador enviar un radicado a un flujo de trabajo activo para iniciar su recorrido de aprobación.</t>
  </si>
  <si>
    <t>El sistema debe permitir al Usuario operativo ver una bandeja con los documentos pendientes de su rol o área para saber qué debe procesar.</t>
  </si>
  <si>
    <t>El sistema debe permitir al Usuario operativo filtrar y ordenar su bandeja por fecha, tipo documental y origen para priorizar su trabajo.</t>
  </si>
  <si>
    <t>El sistema debe permitir al Usuario operativo abrir una tarea para ver los metadatos y anexos del documento antes de decidir.</t>
  </si>
  <si>
    <t>El sistema debe permitir al Usuario operativo aprobar un documento para que avance al siguiente estado del flujo.</t>
  </si>
  <si>
    <t>El sistema debe permitir al Usuario operativo rechazar un documento indicando una observación obligatoria para que quede claro el motivo del rechazo.</t>
  </si>
  <si>
    <t>El sistema debe permitir al Usuario operativo devolver un documento al estado anterior con observaciones para que se corrijan las inconsistencias encontradas.</t>
  </si>
  <si>
    <t>El sistema debe permitir al Administrador configurar en el diseñador si un nodo del flujo será atendido por una persona, un grupo o un rol para adaptar la asignación de tareas a la estructura del área responsable.</t>
  </si>
  <si>
    <t>El sistema debe permitir al Usuario operativo tomar la responsabilidad de un documento en cola para asignárselo a sí mismo de forma exclusiva y evitar que otro integrante del área lo procese simultáneamente.</t>
  </si>
  <si>
    <t>El sistema debe impedir que más de un usuario tenga en posesión o edite el documento original mientras esté en un paso del flujo para evitar ediciones simultáneas o pérdida de información.</t>
  </si>
  <si>
    <t>El sistema debe permitir al Administrador definir la duración máxima global (en horas o días) para completar todo el trámite de un flujo para establecer el tiempo esperado de respuesta institucional.</t>
  </si>
  <si>
    <t>El sistema debe permitir al Administrador definir la duración máxima permitida para resolver un nodo específico del flujo para controlar los tiempos de cada área dentro del trámite.</t>
  </si>
  <si>
    <t>El sistema debe permitir al Usuario operativo ver indicadores de color (verde, amarillo, rojo) en su bandeja de tareas según el tiempo restante para priorizar los documentos próximos a vencer.</t>
  </si>
  <si>
    <t>El sistema debe permitir al Gerente / Aprobador aplicar su firma digital/electrónica a un documento autorizado para formalizar la aprobación ejecutiva (ej. contratos y órdenes de compra).</t>
  </si>
  <si>
    <t>El sistema debe permitir al Administrador marcar en el flujo los estados que exigen firma para que la aprobación no se complete sin ella.</t>
  </si>
  <si>
    <t>El sistema debe permitir al Usuario ver quién firmó un documento y cuándo lo hizo para verificar que la aprobación fue formalizada.</t>
  </si>
  <si>
    <t>El sistema debe permitir al Administrador crear una nueva versión de un flujo activo para introducir cambios sin modificar el flujo que está en operación.</t>
  </si>
  <si>
    <t>El sistema debe garantizar que los documentos en tránsito continúen su recorrido con la versión del flujo con la que iniciaron, para mantener la retrocompatibilidad operativa.</t>
  </si>
  <si>
    <t>El sistema debe permitir al Administrador consultar las versiones de un flujo con su fecha y autor para saber qué cambió y cuál está vigente.</t>
  </si>
  <si>
    <t>No funcional</t>
  </si>
  <si>
    <t>El sistema debe permitir al Administrador configurar copias de seguridad periódicas de documentos y bitácora para garantizar su integridad ante fallas.</t>
  </si>
  <si>
    <t>El sistema debe permitir al Administrador restaurar documentos y bitácora desde una copia de seguridad para recuperar el servicio tras una falla.</t>
  </si>
  <si>
    <t>El sistema debe permitir al Gerente / Aprobador consultar y aprobar documentos desde su celular para no depender de un equipo de escritorio.</t>
  </si>
  <si>
    <t>El sistema debe permitir al Equipo de desarrollo medir y optimizar la carga de la interfaz y la transición de estados para cumplir el límite de 2 segundos.</t>
  </si>
  <si>
    <t>El sistema debe permitir al Equipo de desarrollo ejecutar pruebas de carga con el número mínimo de usuarios concurrentes (N por definir) para confirmar que no hay degradación del rendimiento.</t>
  </si>
  <si>
    <t>Total requerimientos funcionales</t>
  </si>
  <si>
    <t>Total requerimientos no funcionales</t>
  </si>
  <si>
    <t>Total general</t>
  </si>
  <si>
    <t>DISTRIBUCIÓN DE HISTORIAS POR MICROSERVICIO</t>
  </si>
  <si>
    <t>Dominio / responsabilidad</t>
  </si>
  <si>
    <t>Tecnología</t>
  </si>
  <si>
    <t>Base de datos</t>
  </si>
  <si>
    <t>Prefijo de la API</t>
  </si>
  <si>
    <t>Historias (HU)</t>
  </si>
  <si>
    <t>Story Points</t>
  </si>
  <si>
    <t>HU implementadas</t>
  </si>
  <si>
    <t>% implementado</t>
  </si>
  <si>
    <t>Autenticación, Seguridad y Datos Maestros</t>
  </si>
  <si>
    <t>Java 21 · Spring Boot</t>
  </si>
  <si>
    <t>auth_catalogs_db</t>
  </si>
  <si>
    <t>/api/usuarios</t>
  </si>
  <si>
    <t>Gestión Documental, Radicación y Archivo</t>
  </si>
  <si>
    <t>Node.js · Express</t>
  </si>
  <si>
    <t>document_management_db</t>
  </si>
  <si>
    <t>/api/documentos</t>
  </si>
  <si>
    <t>Motor BPM y Bandeja de Tareas</t>
  </si>
  <si>
    <t>Node.js · NestJS</t>
  </si>
  <si>
    <t>workflow_bpm_db</t>
  </si>
  <si>
    <t>/api/flujos</t>
  </si>
  <si>
    <t>Bitácora Transversal y Requerimientos No Funcionales</t>
  </si>
  <si>
    <t>Go</t>
  </si>
  <si>
    <t>audit_infra_db</t>
  </si>
  <si>
    <t>/api/auditoria</t>
  </si>
  <si>
    <t>Total</t>
  </si>
  <si>
    <t>Notas</t>
  </si>
  <si>
    <t>Fuente de la asignación: documento Neptuno_Proyecto.docx, sección "Arquitectura de Microservicios y Distribución" (17 + 25 + 34 + 9 = 85 HU).</t>
  </si>
  <si>
    <t>Los endpoints de la hoja Product Backlog son estimaciones y se escriben relativos al prefijo de su microservicio: p. ej. POST /radicados = POST /api/documentos/radicados.</t>
  </si>
  <si>
    <t>Los de ms-auth-catalogs (estado Implementado) son los reales del código en servicio-usuarios/.</t>
  </si>
  <si>
    <t>Un permiso marcado "(nuevo)" todavía no existe en el catálogo de ms-auth-catalogs y habría que agregarlo a CatalogoPermisos.</t>
  </si>
  <si>
    <t>AMQP = la historia se resuelve consumiendo eventos de RabbitMQ, no con un endpoint REST. "—" = regla transversal o requisito sin endpoint propio.</t>
  </si>
  <si>
    <t>PLANTEAMIENTO INICIAL DE SPRINTS - 4 SPRINTS DE 2 SEMANAS</t>
  </si>
  <si>
    <t>Objetivo del sprint</t>
  </si>
  <si>
    <t>Historia / Actividad</t>
  </si>
  <si>
    <t>SP</t>
  </si>
  <si>
    <t>Arquitectura base, RBAC y radicación básica
Disponer del núcleo del sistema (base de datos, seguridad y control de acceso) y permitir la radicación de documentos con sus metadatos base y anexos, aplicando el formato de radicado AAAAMMDD+X+consecutivo y la restricción de que solo los Radicadores radiquen documentos Recibidos, dejando lista la bitácora de auditoría.</t>
  </si>
  <si>
    <t>Total SPRINT 1</t>
  </si>
  <si>
    <t>Motor de flujos (workflow engine) y bandeja de tareas
Permitir el diseño y la publicación de flujos lineales de aprobación e integrar la bandeja de entrada para que las áreas operativas aprueben, rechacen o devuelvan documentos.</t>
  </si>
  <si>
    <t>Total SPRINT 2</t>
  </si>
  <si>
    <t>Expediente, plantillas, orígenes/copias y firma electrónica
Habilitar el expediente central organizado por área, la generación de documentos desde plantillas, la captura de metadatos extendidos y el manejo de copias (Clase Original/Copia), y la firma electrónica para la aprobación ejecutiva.</t>
  </si>
  <si>
    <t>Total SPRINT 3</t>
  </si>
  <si>
    <t>Control de tiempos (SLA), reglas complejas y afinamiento
Incorporar la asignación y tenencia de tareas del motor BPM, el control de tiempos (SLA general y por paso) con sus alertas, las bifurcaciones condicionales y el versionamiento de flujos, y cubrir los requerimientos no funcionales (respaldo, responsive, rendimiento) para entregar el MVP.</t>
  </si>
  <si>
    <t>Total SPRINT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</si>
</sst>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b/>
      <sz val="14"/>
      <color rgb="FFFFFFFF"/>
      <name val="Arial"/>
    </font>
    <font>
      <sz val="11"/>
      <color theme="1"/>
      <name val="Calibri"/>
    </font>
    <font>
      <b/>
      <sz val="11"/>
      <color rgb="FFFFFFFF"/>
      <name val="Arial"/>
    </font>
    <font>
      <b/>
      <sz val="10"/>
      <color rgb="FF3B2154"/>
      <name val="Arial"/>
    </font>
    <font>
      <sz val="10"/>
      <color rgb="FF1A1A1A"/>
      <name val="Arial"/>
    </font>
    <font>
      <b/>
      <sz val="10"/>
      <color rgb="FF0F4C5C"/>
      <name val="Arial"/>
    </font>
    <font>
      <b/>
      <sz val="9"/>
      <color rgb="FF1E5631"/>
      <name val="Arial"/>
    </font>
    <font>
      <b/>
      <sz val="10"/>
      <color rgb="FF1E5631"/>
      <name val="Arial"/>
    </font>
  </fonts>
  <fills count="14">
    <fill>
      <patternFill patternType="none"/>
    </fill>
    <fill>
      <patternFill patternType="gray125"/>
    </fill>
    <fill>
      <patternFill patternType="solid">
        <fgColor rgb="FF1E5631"/>
        <bgColor rgb="FF1E5631"/>
      </patternFill>
    </fill>
    <fill>
      <patternFill patternType="solid">
        <fgColor rgb="FF3B2154"/>
        <bgColor rgb="FF3B2154"/>
      </patternFill>
    </fill>
    <fill>
      <patternFill patternType="solid">
        <fgColor rgb="FF0F4C5C"/>
        <bgColor rgb="FF0F4C5C"/>
      </patternFill>
    </fill>
    <fill>
      <patternFill patternType="solid">
        <fgColor rgb="FF6A3FA0"/>
        <bgColor rgb="FF6A3FA0"/>
      </patternFill>
    </fill>
    <fill>
      <patternFill patternType="solid">
        <fgColor rgb="FF2E8B57"/>
        <bgColor rgb="FF2E8B57"/>
      </patternFill>
    </fill>
    <fill>
      <patternFill patternType="solid">
        <fgColor rgb="FF1B7A8C"/>
        <bgColor rgb="FF1B7A8C"/>
      </patternFill>
    </fill>
    <fill>
      <patternFill patternType="solid">
        <fgColor rgb="FFF7F3FC"/>
        <bgColor rgb="FFF7F3FC"/>
      </patternFill>
    </fill>
    <fill>
      <patternFill patternType="solid">
        <fgColor rgb="FFF2F9FB"/>
        <bgColor rgb="FFF2F9FB"/>
      </patternFill>
    </fill>
    <fill>
      <patternFill patternType="solid">
        <fgColor rgb="FFDDF0E3"/>
        <bgColor rgb="FFDDF0E3"/>
      </patternFill>
    </fill>
    <fill>
      <patternFill patternType="solid">
        <fgColor rgb="FFEAE0F5"/>
        <bgColor rgb="FFEAE0F5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/>
      <top/>
      <bottom/>
      <diagonal/>
    </border>
  </borders>
  <cellStyleXfs count="1">
    <xf numFmtId="0" fontId="0" fillId="0" borderId="4"/>
  </cellStyleXfs>
  <cellXfs count="38">
    <xf numFmtId="0" fontId="0" fillId="0" borderId="0" xfId="0" applyBorder="1"/>
    <xf numFmtId="0" fontId="2" fillId="0" borderId="0" xfId="0" applyFont="1" applyBorder="1"/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/>
    </xf>
    <xf numFmtId="0" fontId="5" fillId="8" borderId="1" xfId="0" applyFont="1" applyFill="1" applyBorder="1" applyAlignment="1">
      <alignment vertical="top" wrapText="1"/>
    </xf>
    <xf numFmtId="0" fontId="6" fillId="9" borderId="1" xfId="0" applyFont="1" applyFill="1" applyBorder="1" applyAlignment="1">
      <alignment horizontal="center" vertical="top"/>
    </xf>
    <xf numFmtId="0" fontId="5" fillId="8" borderId="1" xfId="0" applyFont="1" applyFill="1" applyBorder="1" applyAlignment="1">
      <alignment horizontal="center" vertical="top"/>
    </xf>
    <xf numFmtId="0" fontId="5" fillId="9" borderId="1" xfId="0" applyFont="1" applyFill="1" applyBorder="1" applyAlignment="1">
      <alignment horizontal="center" vertical="top"/>
    </xf>
    <xf numFmtId="0" fontId="5" fillId="9" borderId="1" xfId="0" applyFont="1" applyFill="1" applyBorder="1" applyAlignment="1">
      <alignment vertical="top" wrapText="1"/>
    </xf>
    <xf numFmtId="0" fontId="4" fillId="8" borderId="1" xfId="0" applyFont="1" applyFill="1" applyBorder="1" applyAlignment="1">
      <alignment horizontal="center" vertical="top"/>
    </xf>
    <xf numFmtId="0" fontId="8" fillId="0" borderId="1" xfId="0" applyFont="1" applyBorder="1" applyAlignment="1">
      <alignment horizontal="center" vertical="top"/>
    </xf>
    <xf numFmtId="0" fontId="5" fillId="8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vertical="top" wrapText="1"/>
    </xf>
    <xf numFmtId="0" fontId="4" fillId="11" borderId="1" xfId="0" applyFont="1" applyFill="1" applyBorder="1" applyAlignment="1">
      <alignment horizontal="right" vertical="center"/>
    </xf>
    <xf numFmtId="0" fontId="4" fillId="11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left" vertical="center" wrapText="1"/>
    </xf>
    <xf numFmtId="0" fontId="2" fillId="10" borderId="1" xfId="0" applyFont="1" applyFill="1" applyBorder="1"/>
    <xf numFmtId="0" fontId="5" fillId="8" borderId="1" xfId="0" applyFont="1" applyFill="1" applyBorder="1" applyAlignment="1">
      <alignment horizontal="left" vertical="top" wrapText="1"/>
    </xf>
    <xf numFmtId="0" fontId="5" fillId="12" borderId="1" xfId="0" applyFont="1" applyFill="1" applyBorder="1" applyAlignment="1">
      <alignment horizontal="center" vertical="top" wrapText="1"/>
    </xf>
    <xf numFmtId="0" fontId="5" fillId="13" borderId="1" xfId="0" applyFont="1" applyFill="1" applyBorder="1" applyAlignment="1">
      <alignment horizontal="center" vertical="top" wrapText="1"/>
    </xf>
    <xf numFmtId="9" fontId="5" fillId="8" borderId="1" xfId="0" applyNumberFormat="1" applyFont="1" applyFill="1" applyBorder="1" applyAlignment="1">
      <alignment horizontal="center" vertical="top"/>
    </xf>
    <xf numFmtId="0" fontId="4" fillId="11" borderId="1" xfId="0" applyFont="1" applyFill="1" applyBorder="1" applyAlignment="1">
      <alignment horizontal="left" vertical="top"/>
    </xf>
    <xf numFmtId="0" fontId="4" fillId="11" borderId="1" xfId="0" applyFont="1" applyFill="1" applyBorder="1" applyAlignment="1">
      <alignment horizontal="center" vertical="top"/>
    </xf>
    <xf numFmtId="9" fontId="4" fillId="11" borderId="1" xfId="0" applyNumberFormat="1" applyFont="1" applyFill="1" applyBorder="1" applyAlignment="1">
      <alignment horizontal="center" vertical="top"/>
    </xf>
    <xf numFmtId="0" fontId="1" fillId="3" borderId="4" xfId="0" applyFont="1" applyFill="1" applyAlignment="1">
      <alignment horizontal="left" vertical="center"/>
    </xf>
    <xf numFmtId="0" fontId="0" fillId="0" borderId="0" xfId="0" applyBorder="1"/>
    <xf numFmtId="0" fontId="1" fillId="4" borderId="4" xfId="0" applyFont="1" applyFill="1" applyAlignment="1">
      <alignment horizontal="left" vertical="center"/>
    </xf>
    <xf numFmtId="0" fontId="5" fillId="0" borderId="4" xfId="0" applyFont="1" applyAlignment="1">
      <alignment vertical="top" wrapText="1"/>
    </xf>
    <xf numFmtId="0" fontId="4" fillId="0" borderId="4" xfId="0" applyFont="1" applyAlignment="1">
      <alignment vertical="top" wrapText="1"/>
    </xf>
    <xf numFmtId="0" fontId="7" fillId="10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3" fillId="6" borderId="1" xfId="0" applyFont="1" applyFill="1" applyBorder="1" applyAlignment="1">
      <alignment horizontal="center" vertical="center" wrapText="1"/>
    </xf>
    <xf numFmtId="0" fontId="1" fillId="2" borderId="4" xfId="0" applyFont="1" applyFill="1" applyAlignment="1">
      <alignment horizontal="left" vertical="center"/>
    </xf>
  </cellXfs>
  <cellStyles count="1">
    <cellStyle name="Normal" xfId="0" builtinId="0"/>
  </cellStyles>
  <dxfs count="3">
    <dxf>
      <fill>
        <patternFill patternType="solid">
          <fgColor rgb="FFF8F5FB"/>
          <bgColor rgb="FFF8F5FB"/>
        </patternFill>
      </fill>
    </dxf>
    <dxf>
      <fill>
        <patternFill patternType="solid">
          <fgColor rgb="FFF0E7F8"/>
          <bgColor rgb="FFF0E7F8"/>
        </patternFill>
      </fill>
    </dxf>
    <dxf>
      <fill>
        <patternFill patternType="solid">
          <fgColor rgb="FFE4D5F2"/>
          <bgColor rgb="FFE4D5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999"/>
  <sheetViews>
    <sheetView showGridLines="0" workbookViewId="0">
      <selection sqref="A1:F1"/>
    </sheetView>
  </sheetViews>
  <sheetFormatPr baseColWidth="10" defaultColWidth="14.453125" defaultRowHeight="15" customHeight="1" x14ac:dyDescent="0.35"/>
  <cols>
    <col min="1" max="1" width="11.7265625" customWidth="1"/>
    <col min="2" max="2" width="11.81640625" customWidth="1"/>
    <col min="3" max="3" width="21.54296875" customWidth="1"/>
    <col min="4" max="4" width="30.08984375" customWidth="1"/>
    <col min="5" max="5" width="78" customWidth="1"/>
    <col min="6" max="6" width="16" customWidth="1"/>
  </cols>
  <sheetData>
    <row r="1" spans="1:6" ht="33.75" customHeight="1" x14ac:dyDescent="0.35">
      <c r="A1" s="30" t="s">
        <v>622</v>
      </c>
      <c r="B1" s="29"/>
      <c r="C1" s="29"/>
      <c r="D1" s="29"/>
      <c r="E1" s="29"/>
      <c r="F1" s="29"/>
    </row>
    <row r="2" spans="1:6" ht="30" customHeight="1" x14ac:dyDescent="0.35">
      <c r="A2" s="4" t="s">
        <v>623</v>
      </c>
      <c r="B2" s="4" t="s">
        <v>624</v>
      </c>
      <c r="C2" s="4" t="s">
        <v>625</v>
      </c>
      <c r="D2" s="4" t="s">
        <v>626</v>
      </c>
      <c r="E2" s="4" t="s">
        <v>627</v>
      </c>
      <c r="F2" s="4" t="s">
        <v>628</v>
      </c>
    </row>
    <row r="3" spans="1:6" ht="23.25" customHeight="1" x14ac:dyDescent="0.35">
      <c r="A3" s="7" t="s">
        <v>23</v>
      </c>
      <c r="B3" s="9" t="s">
        <v>629</v>
      </c>
      <c r="C3" s="10" t="s">
        <v>18</v>
      </c>
      <c r="D3" s="10" t="s">
        <v>19</v>
      </c>
      <c r="E3" s="10" t="s">
        <v>630</v>
      </c>
      <c r="F3" s="9">
        <f>COUNTIF('Product Backlog'!$H$3:$H$87,"*"&amp;A3&amp;"*")</f>
        <v>1</v>
      </c>
    </row>
    <row r="4" spans="1:6" ht="23.25" customHeight="1" x14ac:dyDescent="0.35">
      <c r="A4" s="14" t="s">
        <v>36</v>
      </c>
      <c r="B4" s="15" t="s">
        <v>629</v>
      </c>
      <c r="C4" s="16" t="s">
        <v>18</v>
      </c>
      <c r="D4" s="16" t="s">
        <v>33</v>
      </c>
      <c r="E4" s="16" t="s">
        <v>631</v>
      </c>
      <c r="F4" s="15">
        <f>COUNTIF('Product Backlog'!$H$3:$H$87,"*"&amp;A4&amp;"*")</f>
        <v>1</v>
      </c>
    </row>
    <row r="5" spans="1:6" ht="23.25" customHeight="1" x14ac:dyDescent="0.35">
      <c r="A5" s="7" t="s">
        <v>45</v>
      </c>
      <c r="B5" s="9" t="s">
        <v>629</v>
      </c>
      <c r="C5" s="10" t="s">
        <v>18</v>
      </c>
      <c r="D5" s="10" t="s">
        <v>42</v>
      </c>
      <c r="E5" s="10" t="s">
        <v>632</v>
      </c>
      <c r="F5" s="9">
        <f>COUNTIF('Product Backlog'!$H$3:$H$87,"*"&amp;A5&amp;"*")</f>
        <v>1</v>
      </c>
    </row>
    <row r="6" spans="1:6" ht="23.25" customHeight="1" x14ac:dyDescent="0.35">
      <c r="A6" s="14" t="s">
        <v>52</v>
      </c>
      <c r="B6" s="15" t="s">
        <v>629</v>
      </c>
      <c r="C6" s="16" t="s">
        <v>18</v>
      </c>
      <c r="D6" s="16" t="s">
        <v>50</v>
      </c>
      <c r="E6" s="16" t="s">
        <v>633</v>
      </c>
      <c r="F6" s="15">
        <f>COUNTIF('Product Backlog'!$H$3:$H$87,"*"&amp;A6&amp;"*")</f>
        <v>1</v>
      </c>
    </row>
    <row r="7" spans="1:6" ht="23.25" customHeight="1" x14ac:dyDescent="0.35">
      <c r="A7" s="7" t="s">
        <v>59</v>
      </c>
      <c r="B7" s="9" t="s">
        <v>629</v>
      </c>
      <c r="C7" s="10" t="s">
        <v>18</v>
      </c>
      <c r="D7" s="10" t="s">
        <v>57</v>
      </c>
      <c r="E7" s="10" t="s">
        <v>634</v>
      </c>
      <c r="F7" s="9">
        <f>COUNTIF('Product Backlog'!$H$3:$H$87,"*"&amp;A7&amp;"*")</f>
        <v>1</v>
      </c>
    </row>
    <row r="8" spans="1:6" ht="23.25" customHeight="1" x14ac:dyDescent="0.35">
      <c r="A8" s="14" t="s">
        <v>67</v>
      </c>
      <c r="B8" s="15" t="s">
        <v>629</v>
      </c>
      <c r="C8" s="16" t="s">
        <v>18</v>
      </c>
      <c r="D8" s="16" t="s">
        <v>65</v>
      </c>
      <c r="E8" s="16" t="s">
        <v>635</v>
      </c>
      <c r="F8" s="15">
        <f>COUNTIF('Product Backlog'!$H$3:$H$87,"*"&amp;A8&amp;"*")</f>
        <v>1</v>
      </c>
    </row>
    <row r="9" spans="1:6" ht="23.25" customHeight="1" x14ac:dyDescent="0.35">
      <c r="A9" s="7" t="s">
        <v>76</v>
      </c>
      <c r="B9" s="9" t="s">
        <v>629</v>
      </c>
      <c r="C9" s="10" t="s">
        <v>73</v>
      </c>
      <c r="D9" s="10" t="s">
        <v>74</v>
      </c>
      <c r="E9" s="10" t="s">
        <v>636</v>
      </c>
      <c r="F9" s="9">
        <f>COUNTIF('Product Backlog'!$H$3:$H$87,"*"&amp;A9&amp;"*")</f>
        <v>1</v>
      </c>
    </row>
    <row r="10" spans="1:6" ht="23.25" customHeight="1" x14ac:dyDescent="0.35">
      <c r="A10" s="14" t="s">
        <v>82</v>
      </c>
      <c r="B10" s="15" t="s">
        <v>629</v>
      </c>
      <c r="C10" s="16" t="s">
        <v>73</v>
      </c>
      <c r="D10" s="16" t="s">
        <v>80</v>
      </c>
      <c r="E10" s="16" t="s">
        <v>637</v>
      </c>
      <c r="F10" s="15">
        <f>COUNTIF('Product Backlog'!$H$3:$H$87,"*"&amp;A10&amp;"*")</f>
        <v>1</v>
      </c>
    </row>
    <row r="11" spans="1:6" ht="23.25" customHeight="1" x14ac:dyDescent="0.35">
      <c r="A11" s="7" t="s">
        <v>89</v>
      </c>
      <c r="B11" s="9" t="s">
        <v>629</v>
      </c>
      <c r="C11" s="10" t="s">
        <v>73</v>
      </c>
      <c r="D11" s="10" t="s">
        <v>87</v>
      </c>
      <c r="E11" s="10" t="s">
        <v>638</v>
      </c>
      <c r="F11" s="9">
        <f>COUNTIF('Product Backlog'!$H$3:$H$87,"*"&amp;A11&amp;"*")</f>
        <v>1</v>
      </c>
    </row>
    <row r="12" spans="1:6" ht="23.25" customHeight="1" x14ac:dyDescent="0.35">
      <c r="A12" s="14" t="s">
        <v>95</v>
      </c>
      <c r="B12" s="15" t="s">
        <v>629</v>
      </c>
      <c r="C12" s="16" t="s">
        <v>73</v>
      </c>
      <c r="D12" s="16" t="s">
        <v>93</v>
      </c>
      <c r="E12" s="16" t="s">
        <v>639</v>
      </c>
      <c r="F12" s="15">
        <f>COUNTIF('Product Backlog'!$H$3:$H$87,"*"&amp;A12&amp;"*")</f>
        <v>1</v>
      </c>
    </row>
    <row r="13" spans="1:6" ht="23.25" customHeight="1" x14ac:dyDescent="0.35">
      <c r="A13" s="7" t="s">
        <v>102</v>
      </c>
      <c r="B13" s="9" t="s">
        <v>629</v>
      </c>
      <c r="C13" s="10" t="s">
        <v>73</v>
      </c>
      <c r="D13" s="10" t="s">
        <v>100</v>
      </c>
      <c r="E13" s="10" t="s">
        <v>640</v>
      </c>
      <c r="F13" s="9">
        <f>COUNTIF('Product Backlog'!$H$3:$H$87,"*"&amp;A13&amp;"*")</f>
        <v>1</v>
      </c>
    </row>
    <row r="14" spans="1:6" ht="23.25" customHeight="1" x14ac:dyDescent="0.35">
      <c r="A14" s="14" t="s">
        <v>110</v>
      </c>
      <c r="B14" s="15" t="s">
        <v>629</v>
      </c>
      <c r="C14" s="16" t="s">
        <v>73</v>
      </c>
      <c r="D14" s="16" t="s">
        <v>108</v>
      </c>
      <c r="E14" s="16" t="s">
        <v>641</v>
      </c>
      <c r="F14" s="15">
        <f>COUNTIF('Product Backlog'!$H$3:$H$87,"*"&amp;A14&amp;"*")</f>
        <v>1</v>
      </c>
    </row>
    <row r="15" spans="1:6" ht="23.25" customHeight="1" x14ac:dyDescent="0.35">
      <c r="A15" s="7" t="s">
        <v>118</v>
      </c>
      <c r="B15" s="9" t="s">
        <v>629</v>
      </c>
      <c r="C15" s="10" t="s">
        <v>73</v>
      </c>
      <c r="D15" s="10" t="s">
        <v>115</v>
      </c>
      <c r="E15" s="10" t="s">
        <v>642</v>
      </c>
      <c r="F15" s="9">
        <f>COUNTIF('Product Backlog'!$H$3:$H$87,"*"&amp;A15&amp;"*")</f>
        <v>1</v>
      </c>
    </row>
    <row r="16" spans="1:6" ht="23.25" customHeight="1" x14ac:dyDescent="0.35">
      <c r="A16" s="14" t="s">
        <v>126</v>
      </c>
      <c r="B16" s="15" t="s">
        <v>629</v>
      </c>
      <c r="C16" s="16" t="s">
        <v>73</v>
      </c>
      <c r="D16" s="16" t="s">
        <v>124</v>
      </c>
      <c r="E16" s="16" t="s">
        <v>643</v>
      </c>
      <c r="F16" s="15">
        <f>COUNTIF('Product Backlog'!$H$3:$H$87,"*"&amp;A16&amp;"*")</f>
        <v>1</v>
      </c>
    </row>
    <row r="17" spans="1:6" ht="23.25" customHeight="1" x14ac:dyDescent="0.35">
      <c r="A17" s="7" t="s">
        <v>135</v>
      </c>
      <c r="B17" s="9" t="s">
        <v>629</v>
      </c>
      <c r="C17" s="10" t="s">
        <v>132</v>
      </c>
      <c r="D17" s="10" t="s">
        <v>133</v>
      </c>
      <c r="E17" s="10" t="s">
        <v>644</v>
      </c>
      <c r="F17" s="9">
        <f>COUNTIF('Product Backlog'!$H$3:$H$87,"*"&amp;A17&amp;"*")</f>
        <v>1</v>
      </c>
    </row>
    <row r="18" spans="1:6" ht="23.25" customHeight="1" x14ac:dyDescent="0.35">
      <c r="A18" s="14" t="s">
        <v>144</v>
      </c>
      <c r="B18" s="15" t="s">
        <v>629</v>
      </c>
      <c r="C18" s="16" t="s">
        <v>132</v>
      </c>
      <c r="D18" s="16" t="s">
        <v>142</v>
      </c>
      <c r="E18" s="16" t="s">
        <v>645</v>
      </c>
      <c r="F18" s="15">
        <f>COUNTIF('Product Backlog'!$H$3:$H$87,"*"&amp;A18&amp;"*")</f>
        <v>1</v>
      </c>
    </row>
    <row r="19" spans="1:6" ht="45.75" customHeight="1" x14ac:dyDescent="0.35">
      <c r="A19" s="7" t="s">
        <v>150</v>
      </c>
      <c r="B19" s="9" t="s">
        <v>629</v>
      </c>
      <c r="C19" s="10" t="s">
        <v>132</v>
      </c>
      <c r="D19" s="10" t="s">
        <v>147</v>
      </c>
      <c r="E19" s="10" t="s">
        <v>646</v>
      </c>
      <c r="F19" s="9">
        <f>COUNTIF('Product Backlog'!$H$3:$H$87,"*"&amp;A19&amp;"*")</f>
        <v>1</v>
      </c>
    </row>
    <row r="20" spans="1:6" ht="34.5" customHeight="1" x14ac:dyDescent="0.35">
      <c r="A20" s="14" t="s">
        <v>160</v>
      </c>
      <c r="B20" s="15" t="s">
        <v>629</v>
      </c>
      <c r="C20" s="16" t="s">
        <v>132</v>
      </c>
      <c r="D20" s="16" t="s">
        <v>158</v>
      </c>
      <c r="E20" s="16" t="s">
        <v>647</v>
      </c>
      <c r="F20" s="15">
        <f>COUNTIF('Product Backlog'!$H$3:$H$87,"*"&amp;A20&amp;"*")</f>
        <v>1</v>
      </c>
    </row>
    <row r="21" spans="1:6" ht="15.75" customHeight="1" x14ac:dyDescent="0.35">
      <c r="A21" s="7" t="s">
        <v>165</v>
      </c>
      <c r="B21" s="9" t="s">
        <v>629</v>
      </c>
      <c r="C21" s="10" t="s">
        <v>132</v>
      </c>
      <c r="D21" s="10" t="s">
        <v>163</v>
      </c>
      <c r="E21" s="10" t="s">
        <v>648</v>
      </c>
      <c r="F21" s="9">
        <f>COUNTIF('Product Backlog'!$H$3:$H$87,"*"&amp;A21&amp;"*")</f>
        <v>1</v>
      </c>
    </row>
    <row r="22" spans="1:6" ht="15.75" customHeight="1" x14ac:dyDescent="0.35">
      <c r="A22" s="14" t="s">
        <v>173</v>
      </c>
      <c r="B22" s="15" t="s">
        <v>629</v>
      </c>
      <c r="C22" s="16" t="s">
        <v>132</v>
      </c>
      <c r="D22" s="16" t="s">
        <v>170</v>
      </c>
      <c r="E22" s="16" t="s">
        <v>649</v>
      </c>
      <c r="F22" s="15">
        <f>COUNTIF('Product Backlog'!$H$3:$H$87,"*"&amp;A22&amp;"*")</f>
        <v>1</v>
      </c>
    </row>
    <row r="23" spans="1:6" ht="15.75" customHeight="1" x14ac:dyDescent="0.35">
      <c r="A23" s="7" t="s">
        <v>181</v>
      </c>
      <c r="B23" s="9" t="s">
        <v>629</v>
      </c>
      <c r="C23" s="10" t="s">
        <v>132</v>
      </c>
      <c r="D23" s="10" t="s">
        <v>179</v>
      </c>
      <c r="E23" s="10" t="s">
        <v>650</v>
      </c>
      <c r="F23" s="9">
        <f>COUNTIF('Product Backlog'!$H$3:$H$87,"*"&amp;A23&amp;"*")</f>
        <v>1</v>
      </c>
    </row>
    <row r="24" spans="1:6" ht="15.75" customHeight="1" x14ac:dyDescent="0.35">
      <c r="A24" s="14" t="s">
        <v>190</v>
      </c>
      <c r="B24" s="15" t="s">
        <v>629</v>
      </c>
      <c r="C24" s="16" t="s">
        <v>132</v>
      </c>
      <c r="D24" s="16" t="s">
        <v>188</v>
      </c>
      <c r="E24" s="16" t="s">
        <v>651</v>
      </c>
      <c r="F24" s="15">
        <f>COUNTIF('Product Backlog'!$H$3:$H$87,"*"&amp;A24&amp;"*")</f>
        <v>1</v>
      </c>
    </row>
    <row r="25" spans="1:6" ht="15.75" customHeight="1" x14ac:dyDescent="0.35">
      <c r="A25" s="7" t="s">
        <v>196</v>
      </c>
      <c r="B25" s="9" t="s">
        <v>629</v>
      </c>
      <c r="C25" s="10" t="s">
        <v>132</v>
      </c>
      <c r="D25" s="10" t="s">
        <v>194</v>
      </c>
      <c r="E25" s="10" t="s">
        <v>652</v>
      </c>
      <c r="F25" s="9">
        <f>COUNTIF('Product Backlog'!$H$3:$H$87,"*"&amp;A25&amp;"*")</f>
        <v>1</v>
      </c>
    </row>
    <row r="26" spans="1:6" ht="15.75" customHeight="1" x14ac:dyDescent="0.35">
      <c r="A26" s="14" t="s">
        <v>202</v>
      </c>
      <c r="B26" s="15" t="s">
        <v>629</v>
      </c>
      <c r="C26" s="16" t="s">
        <v>132</v>
      </c>
      <c r="D26" s="16" t="s">
        <v>200</v>
      </c>
      <c r="E26" s="16" t="s">
        <v>653</v>
      </c>
      <c r="F26" s="15">
        <f>COUNTIF('Product Backlog'!$H$3:$H$87,"*"&amp;A26&amp;"*")</f>
        <v>1</v>
      </c>
    </row>
    <row r="27" spans="1:6" ht="15.75" customHeight="1" x14ac:dyDescent="0.35">
      <c r="A27" s="7" t="s">
        <v>210</v>
      </c>
      <c r="B27" s="9" t="s">
        <v>629</v>
      </c>
      <c r="C27" s="10" t="s">
        <v>207</v>
      </c>
      <c r="D27" s="10" t="s">
        <v>208</v>
      </c>
      <c r="E27" s="10" t="s">
        <v>654</v>
      </c>
      <c r="F27" s="9">
        <f>COUNTIF('Product Backlog'!$H$3:$H$87,"*"&amp;A27&amp;"*")</f>
        <v>1</v>
      </c>
    </row>
    <row r="28" spans="1:6" ht="15.75" customHeight="1" x14ac:dyDescent="0.35">
      <c r="A28" s="14" t="s">
        <v>217</v>
      </c>
      <c r="B28" s="15" t="s">
        <v>629</v>
      </c>
      <c r="C28" s="16" t="s">
        <v>207</v>
      </c>
      <c r="D28" s="16" t="s">
        <v>215</v>
      </c>
      <c r="E28" s="16" t="s">
        <v>655</v>
      </c>
      <c r="F28" s="15">
        <f>COUNTIF('Product Backlog'!$H$3:$H$87,"*"&amp;A28&amp;"*")</f>
        <v>1</v>
      </c>
    </row>
    <row r="29" spans="1:6" ht="15.75" customHeight="1" x14ac:dyDescent="0.35">
      <c r="A29" s="7" t="s">
        <v>222</v>
      </c>
      <c r="B29" s="9" t="s">
        <v>629</v>
      </c>
      <c r="C29" s="10" t="s">
        <v>207</v>
      </c>
      <c r="D29" s="10" t="s">
        <v>220</v>
      </c>
      <c r="E29" s="10" t="s">
        <v>656</v>
      </c>
      <c r="F29" s="9">
        <f>COUNTIF('Product Backlog'!$H$3:$H$87,"*"&amp;A29&amp;"*")</f>
        <v>1</v>
      </c>
    </row>
    <row r="30" spans="1:6" ht="15.75" customHeight="1" x14ac:dyDescent="0.35">
      <c r="A30" s="14" t="s">
        <v>228</v>
      </c>
      <c r="B30" s="15" t="s">
        <v>629</v>
      </c>
      <c r="C30" s="16" t="s">
        <v>207</v>
      </c>
      <c r="D30" s="16" t="s">
        <v>226</v>
      </c>
      <c r="E30" s="16" t="s">
        <v>657</v>
      </c>
      <c r="F30" s="15">
        <f>COUNTIF('Product Backlog'!$H$3:$H$87,"*"&amp;A30&amp;"*")</f>
        <v>1</v>
      </c>
    </row>
    <row r="31" spans="1:6" ht="15.75" customHeight="1" x14ac:dyDescent="0.35">
      <c r="A31" s="7" t="s">
        <v>234</v>
      </c>
      <c r="B31" s="9" t="s">
        <v>629</v>
      </c>
      <c r="C31" s="10" t="s">
        <v>207</v>
      </c>
      <c r="D31" s="10" t="s">
        <v>232</v>
      </c>
      <c r="E31" s="10" t="s">
        <v>658</v>
      </c>
      <c r="F31" s="9">
        <f>COUNTIF('Product Backlog'!$H$3:$H$87,"*"&amp;A31&amp;"*")</f>
        <v>1</v>
      </c>
    </row>
    <row r="32" spans="1:6" ht="15.75" customHeight="1" x14ac:dyDescent="0.35">
      <c r="A32" s="14" t="s">
        <v>242</v>
      </c>
      <c r="B32" s="15" t="s">
        <v>629</v>
      </c>
      <c r="C32" s="16" t="s">
        <v>239</v>
      </c>
      <c r="D32" s="16" t="s">
        <v>240</v>
      </c>
      <c r="E32" s="16" t="s">
        <v>659</v>
      </c>
      <c r="F32" s="15">
        <f>COUNTIF('Product Backlog'!$H$3:$H$87,"*"&amp;A32&amp;"*")</f>
        <v>1</v>
      </c>
    </row>
    <row r="33" spans="1:6" ht="15.75" customHeight="1" x14ac:dyDescent="0.35">
      <c r="A33" s="7" t="s">
        <v>250</v>
      </c>
      <c r="B33" s="9" t="s">
        <v>629</v>
      </c>
      <c r="C33" s="10" t="s">
        <v>239</v>
      </c>
      <c r="D33" s="10" t="s">
        <v>248</v>
      </c>
      <c r="E33" s="10" t="s">
        <v>660</v>
      </c>
      <c r="F33" s="9">
        <f>COUNTIF('Product Backlog'!$H$3:$H$87,"*"&amp;A33&amp;"*")</f>
        <v>1</v>
      </c>
    </row>
    <row r="34" spans="1:6" ht="15.75" customHeight="1" x14ac:dyDescent="0.35">
      <c r="A34" s="14" t="s">
        <v>255</v>
      </c>
      <c r="B34" s="15" t="s">
        <v>629</v>
      </c>
      <c r="C34" s="16" t="s">
        <v>239</v>
      </c>
      <c r="D34" s="16" t="s">
        <v>253</v>
      </c>
      <c r="E34" s="16" t="s">
        <v>661</v>
      </c>
      <c r="F34" s="15">
        <f>COUNTIF('Product Backlog'!$H$3:$H$87,"*"&amp;A34&amp;"*")</f>
        <v>1</v>
      </c>
    </row>
    <row r="35" spans="1:6" ht="15.75" customHeight="1" x14ac:dyDescent="0.35">
      <c r="A35" s="7" t="s">
        <v>262</v>
      </c>
      <c r="B35" s="9" t="s">
        <v>629</v>
      </c>
      <c r="C35" s="10" t="s">
        <v>239</v>
      </c>
      <c r="D35" s="10" t="s">
        <v>260</v>
      </c>
      <c r="E35" s="10" t="s">
        <v>662</v>
      </c>
      <c r="F35" s="9">
        <f>COUNTIF('Product Backlog'!$H$3:$H$87,"*"&amp;A35&amp;"*")</f>
        <v>1</v>
      </c>
    </row>
    <row r="36" spans="1:6" ht="15.75" customHeight="1" x14ac:dyDescent="0.35">
      <c r="A36" s="14" t="s">
        <v>269</v>
      </c>
      <c r="B36" s="15" t="s">
        <v>629</v>
      </c>
      <c r="C36" s="16" t="s">
        <v>239</v>
      </c>
      <c r="D36" s="16" t="s">
        <v>267</v>
      </c>
      <c r="E36" s="16" t="s">
        <v>663</v>
      </c>
      <c r="F36" s="15">
        <f>COUNTIF('Product Backlog'!$H$3:$H$87,"*"&amp;A36&amp;"*")</f>
        <v>1</v>
      </c>
    </row>
    <row r="37" spans="1:6" ht="15.75" customHeight="1" x14ac:dyDescent="0.35">
      <c r="A37" s="7" t="s">
        <v>278</v>
      </c>
      <c r="B37" s="9" t="s">
        <v>629</v>
      </c>
      <c r="C37" s="10" t="s">
        <v>275</v>
      </c>
      <c r="D37" s="10" t="s">
        <v>276</v>
      </c>
      <c r="E37" s="10" t="s">
        <v>664</v>
      </c>
      <c r="F37" s="9">
        <f>COUNTIF('Product Backlog'!$H$3:$H$87,"*"&amp;A37&amp;"*")</f>
        <v>1</v>
      </c>
    </row>
    <row r="38" spans="1:6" ht="15.75" customHeight="1" x14ac:dyDescent="0.35">
      <c r="A38" s="14" t="s">
        <v>286</v>
      </c>
      <c r="B38" s="15" t="s">
        <v>629</v>
      </c>
      <c r="C38" s="16" t="s">
        <v>275</v>
      </c>
      <c r="D38" s="16" t="s">
        <v>284</v>
      </c>
      <c r="E38" s="16" t="s">
        <v>665</v>
      </c>
      <c r="F38" s="15">
        <f>COUNTIF('Product Backlog'!$H$3:$H$87,"*"&amp;A38&amp;"*")</f>
        <v>1</v>
      </c>
    </row>
    <row r="39" spans="1:6" ht="15.75" customHeight="1" x14ac:dyDescent="0.35">
      <c r="A39" s="7" t="s">
        <v>293</v>
      </c>
      <c r="B39" s="9" t="s">
        <v>629</v>
      </c>
      <c r="C39" s="10" t="s">
        <v>275</v>
      </c>
      <c r="D39" s="10" t="s">
        <v>291</v>
      </c>
      <c r="E39" s="10" t="s">
        <v>666</v>
      </c>
      <c r="F39" s="9">
        <f>COUNTIF('Product Backlog'!$H$3:$H$87,"*"&amp;A39&amp;"*")</f>
        <v>1</v>
      </c>
    </row>
    <row r="40" spans="1:6" ht="15.75" customHeight="1" x14ac:dyDescent="0.35">
      <c r="A40" s="14" t="s">
        <v>301</v>
      </c>
      <c r="B40" s="15" t="s">
        <v>629</v>
      </c>
      <c r="C40" s="16" t="s">
        <v>275</v>
      </c>
      <c r="D40" s="16" t="s">
        <v>299</v>
      </c>
      <c r="E40" s="16" t="s">
        <v>667</v>
      </c>
      <c r="F40" s="15">
        <f>COUNTIF('Product Backlog'!$H$3:$H$87,"*"&amp;A40&amp;"*")</f>
        <v>1</v>
      </c>
    </row>
    <row r="41" spans="1:6" ht="15.75" customHeight="1" x14ac:dyDescent="0.35">
      <c r="A41" s="7" t="s">
        <v>308</v>
      </c>
      <c r="B41" s="9" t="s">
        <v>629</v>
      </c>
      <c r="C41" s="10" t="s">
        <v>305</v>
      </c>
      <c r="D41" s="10" t="s">
        <v>306</v>
      </c>
      <c r="E41" s="10" t="s">
        <v>668</v>
      </c>
      <c r="F41" s="9">
        <f>COUNTIF('Product Backlog'!$H$3:$H$87,"*"&amp;A41&amp;"*")</f>
        <v>1</v>
      </c>
    </row>
    <row r="42" spans="1:6" ht="15.75" customHeight="1" x14ac:dyDescent="0.35">
      <c r="A42" s="14" t="s">
        <v>315</v>
      </c>
      <c r="B42" s="15" t="s">
        <v>629</v>
      </c>
      <c r="C42" s="16" t="s">
        <v>305</v>
      </c>
      <c r="D42" s="16" t="s">
        <v>313</v>
      </c>
      <c r="E42" s="16" t="s">
        <v>669</v>
      </c>
      <c r="F42" s="15">
        <f>COUNTIF('Product Backlog'!$H$3:$H$87,"*"&amp;A42&amp;"*")</f>
        <v>1</v>
      </c>
    </row>
    <row r="43" spans="1:6" ht="15.75" customHeight="1" x14ac:dyDescent="0.35">
      <c r="A43" s="7" t="s">
        <v>322</v>
      </c>
      <c r="B43" s="9" t="s">
        <v>629</v>
      </c>
      <c r="C43" s="10" t="s">
        <v>305</v>
      </c>
      <c r="D43" s="10" t="s">
        <v>320</v>
      </c>
      <c r="E43" s="10" t="s">
        <v>670</v>
      </c>
      <c r="F43" s="9">
        <f>COUNTIF('Product Backlog'!$H$3:$H$87,"*"&amp;A43&amp;"*")</f>
        <v>1</v>
      </c>
    </row>
    <row r="44" spans="1:6" ht="15.75" customHeight="1" x14ac:dyDescent="0.35">
      <c r="A44" s="14" t="s">
        <v>329</v>
      </c>
      <c r="B44" s="15" t="s">
        <v>629</v>
      </c>
      <c r="C44" s="16" t="s">
        <v>305</v>
      </c>
      <c r="D44" s="16" t="s">
        <v>327</v>
      </c>
      <c r="E44" s="16" t="s">
        <v>671</v>
      </c>
      <c r="F44" s="15">
        <f>COUNTIF('Product Backlog'!$H$3:$H$87,"*"&amp;A44&amp;"*")</f>
        <v>1</v>
      </c>
    </row>
    <row r="45" spans="1:6" ht="15.75" customHeight="1" x14ac:dyDescent="0.35">
      <c r="A45" s="7" t="s">
        <v>337</v>
      </c>
      <c r="B45" s="9" t="s">
        <v>629</v>
      </c>
      <c r="C45" s="10" t="s">
        <v>334</v>
      </c>
      <c r="D45" s="10" t="s">
        <v>335</v>
      </c>
      <c r="E45" s="10" t="s">
        <v>672</v>
      </c>
      <c r="F45" s="9">
        <f>COUNTIF('Product Backlog'!$H$3:$H$87,"*"&amp;A45&amp;"*")</f>
        <v>1</v>
      </c>
    </row>
    <row r="46" spans="1:6" ht="15.75" customHeight="1" x14ac:dyDescent="0.35">
      <c r="A46" s="14" t="s">
        <v>345</v>
      </c>
      <c r="B46" s="15" t="s">
        <v>629</v>
      </c>
      <c r="C46" s="16" t="s">
        <v>334</v>
      </c>
      <c r="D46" s="16" t="s">
        <v>343</v>
      </c>
      <c r="E46" s="16" t="s">
        <v>673</v>
      </c>
      <c r="F46" s="15">
        <f>COUNTIF('Product Backlog'!$H$3:$H$87,"*"&amp;A46&amp;"*")</f>
        <v>1</v>
      </c>
    </row>
    <row r="47" spans="1:6" ht="15.75" customHeight="1" x14ac:dyDescent="0.35">
      <c r="A47" s="7" t="s">
        <v>352</v>
      </c>
      <c r="B47" s="9" t="s">
        <v>629</v>
      </c>
      <c r="C47" s="10" t="s">
        <v>334</v>
      </c>
      <c r="D47" s="10" t="s">
        <v>350</v>
      </c>
      <c r="E47" s="10" t="s">
        <v>674</v>
      </c>
      <c r="F47" s="9">
        <f>COUNTIF('Product Backlog'!$H$3:$H$87,"*"&amp;A47&amp;"*")</f>
        <v>1</v>
      </c>
    </row>
    <row r="48" spans="1:6" ht="15.75" customHeight="1" x14ac:dyDescent="0.35">
      <c r="A48" s="14" t="s">
        <v>359</v>
      </c>
      <c r="B48" s="15" t="s">
        <v>629</v>
      </c>
      <c r="C48" s="16" t="s">
        <v>334</v>
      </c>
      <c r="D48" s="16" t="s">
        <v>356</v>
      </c>
      <c r="E48" s="16" t="s">
        <v>675</v>
      </c>
      <c r="F48" s="15">
        <f>COUNTIF('Product Backlog'!$H$3:$H$87,"*"&amp;A48&amp;"*")</f>
        <v>1</v>
      </c>
    </row>
    <row r="49" spans="1:6" ht="15.75" customHeight="1" x14ac:dyDescent="0.35">
      <c r="A49" s="7" t="s">
        <v>366</v>
      </c>
      <c r="B49" s="9" t="s">
        <v>629</v>
      </c>
      <c r="C49" s="10" t="s">
        <v>334</v>
      </c>
      <c r="D49" s="10" t="s">
        <v>363</v>
      </c>
      <c r="E49" s="10" t="s">
        <v>676</v>
      </c>
      <c r="F49" s="9">
        <f>COUNTIF('Product Backlog'!$H$3:$H$87,"*"&amp;A49&amp;"*")</f>
        <v>1</v>
      </c>
    </row>
    <row r="50" spans="1:6" ht="15.75" customHeight="1" x14ac:dyDescent="0.35">
      <c r="A50" s="14" t="s">
        <v>375</v>
      </c>
      <c r="B50" s="15" t="s">
        <v>629</v>
      </c>
      <c r="C50" s="16" t="s">
        <v>372</v>
      </c>
      <c r="D50" s="16" t="s">
        <v>373</v>
      </c>
      <c r="E50" s="16" t="s">
        <v>677</v>
      </c>
      <c r="F50" s="15">
        <f>COUNTIF('Product Backlog'!$H$3:$H$87,"*"&amp;A50&amp;"*")</f>
        <v>1</v>
      </c>
    </row>
    <row r="51" spans="1:6" ht="15.75" customHeight="1" x14ac:dyDescent="0.35">
      <c r="A51" s="7" t="s">
        <v>382</v>
      </c>
      <c r="B51" s="9" t="s">
        <v>629</v>
      </c>
      <c r="C51" s="10" t="s">
        <v>372</v>
      </c>
      <c r="D51" s="10" t="s">
        <v>380</v>
      </c>
      <c r="E51" s="10" t="s">
        <v>678</v>
      </c>
      <c r="F51" s="9">
        <f>COUNTIF('Product Backlog'!$H$3:$H$87,"*"&amp;A51&amp;"*")</f>
        <v>1</v>
      </c>
    </row>
    <row r="52" spans="1:6" ht="15.75" customHeight="1" x14ac:dyDescent="0.35">
      <c r="A52" s="14" t="s">
        <v>387</v>
      </c>
      <c r="B52" s="15" t="s">
        <v>629</v>
      </c>
      <c r="C52" s="16" t="s">
        <v>372</v>
      </c>
      <c r="D52" s="16" t="s">
        <v>385</v>
      </c>
      <c r="E52" s="16" t="s">
        <v>679</v>
      </c>
      <c r="F52" s="15">
        <f>COUNTIF('Product Backlog'!$H$3:$H$87,"*"&amp;A52&amp;"*")</f>
        <v>1</v>
      </c>
    </row>
    <row r="53" spans="1:6" ht="15.75" customHeight="1" x14ac:dyDescent="0.35">
      <c r="A53" s="7" t="s">
        <v>393</v>
      </c>
      <c r="B53" s="9" t="s">
        <v>629</v>
      </c>
      <c r="C53" s="10" t="s">
        <v>372</v>
      </c>
      <c r="D53" s="10" t="s">
        <v>391</v>
      </c>
      <c r="E53" s="10" t="s">
        <v>680</v>
      </c>
      <c r="F53" s="9">
        <f>COUNTIF('Product Backlog'!$H$3:$H$87,"*"&amp;A53&amp;"*")</f>
        <v>1</v>
      </c>
    </row>
    <row r="54" spans="1:6" ht="15.75" customHeight="1" x14ac:dyDescent="0.35">
      <c r="A54" s="14" t="s">
        <v>398</v>
      </c>
      <c r="B54" s="15" t="s">
        <v>629</v>
      </c>
      <c r="C54" s="16" t="s">
        <v>372</v>
      </c>
      <c r="D54" s="16" t="s">
        <v>396</v>
      </c>
      <c r="E54" s="16" t="s">
        <v>681</v>
      </c>
      <c r="F54" s="15">
        <f>COUNTIF('Product Backlog'!$H$3:$H$87,"*"&amp;A54&amp;"*")</f>
        <v>1</v>
      </c>
    </row>
    <row r="55" spans="1:6" ht="15.75" customHeight="1" x14ac:dyDescent="0.35">
      <c r="A55" s="7" t="s">
        <v>404</v>
      </c>
      <c r="B55" s="9" t="s">
        <v>629</v>
      </c>
      <c r="C55" s="10" t="s">
        <v>372</v>
      </c>
      <c r="D55" s="10" t="s">
        <v>402</v>
      </c>
      <c r="E55" s="10" t="s">
        <v>682</v>
      </c>
      <c r="F55" s="9">
        <f>COUNTIF('Product Backlog'!$H$3:$H$87,"*"&amp;A55&amp;"*")</f>
        <v>1</v>
      </c>
    </row>
    <row r="56" spans="1:6" ht="15.75" customHeight="1" x14ac:dyDescent="0.35">
      <c r="A56" s="14" t="s">
        <v>409</v>
      </c>
      <c r="B56" s="15" t="s">
        <v>629</v>
      </c>
      <c r="C56" s="16" t="s">
        <v>372</v>
      </c>
      <c r="D56" s="16" t="s">
        <v>407</v>
      </c>
      <c r="E56" s="16" t="s">
        <v>683</v>
      </c>
      <c r="F56" s="15">
        <f>COUNTIF('Product Backlog'!$H$3:$H$87,"*"&amp;A56&amp;"*")</f>
        <v>1</v>
      </c>
    </row>
    <row r="57" spans="1:6" ht="15.75" customHeight="1" x14ac:dyDescent="0.35">
      <c r="A57" s="7" t="s">
        <v>414</v>
      </c>
      <c r="B57" s="9" t="s">
        <v>629</v>
      </c>
      <c r="C57" s="10" t="s">
        <v>372</v>
      </c>
      <c r="D57" s="10" t="s">
        <v>412</v>
      </c>
      <c r="E57" s="10" t="s">
        <v>684</v>
      </c>
      <c r="F57" s="9">
        <f>COUNTIF('Product Backlog'!$H$3:$H$87,"*"&amp;A57&amp;"*")</f>
        <v>1</v>
      </c>
    </row>
    <row r="58" spans="1:6" ht="15.75" customHeight="1" x14ac:dyDescent="0.35">
      <c r="A58" s="14" t="s">
        <v>420</v>
      </c>
      <c r="B58" s="15" t="s">
        <v>629</v>
      </c>
      <c r="C58" s="16" t="s">
        <v>372</v>
      </c>
      <c r="D58" s="16" t="s">
        <v>418</v>
      </c>
      <c r="E58" s="16" t="s">
        <v>685</v>
      </c>
      <c r="F58" s="15">
        <f>COUNTIF('Product Backlog'!$H$3:$H$87,"*"&amp;A58&amp;"*")</f>
        <v>1</v>
      </c>
    </row>
    <row r="59" spans="1:6" ht="15.75" customHeight="1" x14ac:dyDescent="0.35">
      <c r="A59" s="7" t="s">
        <v>426</v>
      </c>
      <c r="B59" s="9" t="s">
        <v>629</v>
      </c>
      <c r="C59" s="10" t="s">
        <v>372</v>
      </c>
      <c r="D59" s="10" t="s">
        <v>424</v>
      </c>
      <c r="E59" s="10" t="s">
        <v>686</v>
      </c>
      <c r="F59" s="9">
        <f>COUNTIF('Product Backlog'!$H$3:$H$87,"*"&amp;A59&amp;"*")</f>
        <v>1</v>
      </c>
    </row>
    <row r="60" spans="1:6" ht="15.75" customHeight="1" x14ac:dyDescent="0.35">
      <c r="A60" s="14" t="s">
        <v>431</v>
      </c>
      <c r="B60" s="15" t="s">
        <v>629</v>
      </c>
      <c r="C60" s="16" t="s">
        <v>372</v>
      </c>
      <c r="D60" s="16" t="s">
        <v>429</v>
      </c>
      <c r="E60" s="16" t="s">
        <v>687</v>
      </c>
      <c r="F60" s="15">
        <f>COUNTIF('Product Backlog'!$H$3:$H$87,"*"&amp;A60&amp;"*")</f>
        <v>1</v>
      </c>
    </row>
    <row r="61" spans="1:6" ht="15.75" customHeight="1" x14ac:dyDescent="0.35">
      <c r="A61" s="7" t="s">
        <v>435</v>
      </c>
      <c r="B61" s="9" t="s">
        <v>629</v>
      </c>
      <c r="C61" s="10" t="s">
        <v>372</v>
      </c>
      <c r="D61" s="10" t="s">
        <v>433</v>
      </c>
      <c r="E61" s="10" t="s">
        <v>688</v>
      </c>
      <c r="F61" s="9">
        <f>COUNTIF('Product Backlog'!$H$3:$H$87,"*"&amp;A61&amp;"*")</f>
        <v>1</v>
      </c>
    </row>
    <row r="62" spans="1:6" ht="15.75" customHeight="1" x14ac:dyDescent="0.35">
      <c r="A62" s="14" t="s">
        <v>442</v>
      </c>
      <c r="B62" s="15" t="s">
        <v>629</v>
      </c>
      <c r="C62" s="16" t="s">
        <v>372</v>
      </c>
      <c r="D62" s="16" t="s">
        <v>440</v>
      </c>
      <c r="E62" s="16" t="s">
        <v>689</v>
      </c>
      <c r="F62" s="15">
        <f>COUNTIF('Product Backlog'!$H$3:$H$87,"*"&amp;A62&amp;"*")</f>
        <v>1</v>
      </c>
    </row>
    <row r="63" spans="1:6" ht="15.75" customHeight="1" x14ac:dyDescent="0.35">
      <c r="A63" s="7" t="s">
        <v>447</v>
      </c>
      <c r="B63" s="9" t="s">
        <v>629</v>
      </c>
      <c r="C63" s="10" t="s">
        <v>372</v>
      </c>
      <c r="D63" s="10" t="s">
        <v>445</v>
      </c>
      <c r="E63" s="10" t="s">
        <v>690</v>
      </c>
      <c r="F63" s="9">
        <f>COUNTIF('Product Backlog'!$H$3:$H$87,"*"&amp;A63&amp;"*")</f>
        <v>1</v>
      </c>
    </row>
    <row r="64" spans="1:6" ht="15.75" customHeight="1" x14ac:dyDescent="0.35">
      <c r="A64" s="14" t="s">
        <v>455</v>
      </c>
      <c r="B64" s="15" t="s">
        <v>629</v>
      </c>
      <c r="C64" s="16" t="s">
        <v>452</v>
      </c>
      <c r="D64" s="16" t="s">
        <v>453</v>
      </c>
      <c r="E64" s="16" t="s">
        <v>691</v>
      </c>
      <c r="F64" s="15">
        <f>COUNTIF('Product Backlog'!$H$3:$H$87,"*"&amp;A64&amp;"*")</f>
        <v>1</v>
      </c>
    </row>
    <row r="65" spans="1:6" ht="15.75" customHeight="1" x14ac:dyDescent="0.35">
      <c r="A65" s="7" t="s">
        <v>463</v>
      </c>
      <c r="B65" s="9" t="s">
        <v>629</v>
      </c>
      <c r="C65" s="10" t="s">
        <v>452</v>
      </c>
      <c r="D65" s="10" t="s">
        <v>461</v>
      </c>
      <c r="E65" s="10" t="s">
        <v>692</v>
      </c>
      <c r="F65" s="9">
        <f>COUNTIF('Product Backlog'!$H$3:$H$87,"*"&amp;A65&amp;"*")</f>
        <v>1</v>
      </c>
    </row>
    <row r="66" spans="1:6" ht="15.75" customHeight="1" x14ac:dyDescent="0.35">
      <c r="A66" s="14" t="s">
        <v>470</v>
      </c>
      <c r="B66" s="15" t="s">
        <v>629</v>
      </c>
      <c r="C66" s="16" t="s">
        <v>452</v>
      </c>
      <c r="D66" s="16" t="s">
        <v>468</v>
      </c>
      <c r="E66" s="16" t="s">
        <v>693</v>
      </c>
      <c r="F66" s="15">
        <f>COUNTIF('Product Backlog'!$H$3:$H$87,"*"&amp;A66&amp;"*")</f>
        <v>1</v>
      </c>
    </row>
    <row r="67" spans="1:6" ht="15.75" customHeight="1" x14ac:dyDescent="0.35">
      <c r="A67" s="7" t="s">
        <v>475</v>
      </c>
      <c r="B67" s="9" t="s">
        <v>629</v>
      </c>
      <c r="C67" s="10" t="s">
        <v>452</v>
      </c>
      <c r="D67" s="10" t="s">
        <v>473</v>
      </c>
      <c r="E67" s="10" t="s">
        <v>694</v>
      </c>
      <c r="F67" s="9">
        <f>COUNTIF('Product Backlog'!$H$3:$H$87,"*"&amp;A67&amp;"*")</f>
        <v>1</v>
      </c>
    </row>
    <row r="68" spans="1:6" ht="15.75" customHeight="1" x14ac:dyDescent="0.35">
      <c r="A68" s="14" t="s">
        <v>481</v>
      </c>
      <c r="B68" s="15" t="s">
        <v>629</v>
      </c>
      <c r="C68" s="16" t="s">
        <v>452</v>
      </c>
      <c r="D68" s="16" t="s">
        <v>479</v>
      </c>
      <c r="E68" s="16" t="s">
        <v>695</v>
      </c>
      <c r="F68" s="15">
        <f>COUNTIF('Product Backlog'!$H$3:$H$87,"*"&amp;A68&amp;"*")</f>
        <v>1</v>
      </c>
    </row>
    <row r="69" spans="1:6" ht="15.75" customHeight="1" x14ac:dyDescent="0.35">
      <c r="A69" s="7" t="s">
        <v>489</v>
      </c>
      <c r="B69" s="9" t="s">
        <v>629</v>
      </c>
      <c r="C69" s="10" t="s">
        <v>452</v>
      </c>
      <c r="D69" s="10" t="s">
        <v>487</v>
      </c>
      <c r="E69" s="10" t="s">
        <v>696</v>
      </c>
      <c r="F69" s="9">
        <f>COUNTIF('Product Backlog'!$H$3:$H$87,"*"&amp;A69&amp;"*")</f>
        <v>1</v>
      </c>
    </row>
    <row r="70" spans="1:6" ht="15.75" customHeight="1" x14ac:dyDescent="0.35">
      <c r="A70" s="14" t="s">
        <v>496</v>
      </c>
      <c r="B70" s="15" t="s">
        <v>629</v>
      </c>
      <c r="C70" s="16" t="s">
        <v>452</v>
      </c>
      <c r="D70" s="16" t="s">
        <v>494</v>
      </c>
      <c r="E70" s="16" t="s">
        <v>697</v>
      </c>
      <c r="F70" s="15">
        <f>COUNTIF('Product Backlog'!$H$3:$H$87,"*"&amp;A70&amp;"*")</f>
        <v>1</v>
      </c>
    </row>
    <row r="71" spans="1:6" ht="15.75" customHeight="1" x14ac:dyDescent="0.35">
      <c r="A71" s="7" t="s">
        <v>503</v>
      </c>
      <c r="B71" s="9" t="s">
        <v>629</v>
      </c>
      <c r="C71" s="10" t="s">
        <v>500</v>
      </c>
      <c r="D71" s="10" t="s">
        <v>501</v>
      </c>
      <c r="E71" s="10" t="s">
        <v>698</v>
      </c>
      <c r="F71" s="9">
        <f>COUNTIF('Product Backlog'!$H$3:$H$87,"*"&amp;A71&amp;"*")</f>
        <v>1</v>
      </c>
    </row>
    <row r="72" spans="1:6" ht="15.75" customHeight="1" x14ac:dyDescent="0.35">
      <c r="A72" s="14" t="s">
        <v>511</v>
      </c>
      <c r="B72" s="15" t="s">
        <v>629</v>
      </c>
      <c r="C72" s="16" t="s">
        <v>500</v>
      </c>
      <c r="D72" s="16" t="s">
        <v>509</v>
      </c>
      <c r="E72" s="16" t="s">
        <v>699</v>
      </c>
      <c r="F72" s="15">
        <f>COUNTIF('Product Backlog'!$H$3:$H$87,"*"&amp;A72&amp;"*")</f>
        <v>1</v>
      </c>
    </row>
    <row r="73" spans="1:6" ht="15.75" customHeight="1" x14ac:dyDescent="0.35">
      <c r="A73" s="7" t="s">
        <v>520</v>
      </c>
      <c r="B73" s="9" t="s">
        <v>629</v>
      </c>
      <c r="C73" s="10" t="s">
        <v>500</v>
      </c>
      <c r="D73" s="10" t="s">
        <v>518</v>
      </c>
      <c r="E73" s="10" t="s">
        <v>700</v>
      </c>
      <c r="F73" s="9">
        <f>COUNTIF('Product Backlog'!$H$3:$H$87,"*"&amp;A73&amp;"*")</f>
        <v>1</v>
      </c>
    </row>
    <row r="74" spans="1:6" ht="15.75" customHeight="1" x14ac:dyDescent="0.35">
      <c r="A74" s="14" t="s">
        <v>527</v>
      </c>
      <c r="B74" s="15" t="s">
        <v>629</v>
      </c>
      <c r="C74" s="16" t="s">
        <v>500</v>
      </c>
      <c r="D74" s="16" t="s">
        <v>525</v>
      </c>
      <c r="E74" s="16" t="s">
        <v>701</v>
      </c>
      <c r="F74" s="15">
        <f>COUNTIF('Product Backlog'!$H$3:$H$87,"*"&amp;A74&amp;"*")</f>
        <v>1</v>
      </c>
    </row>
    <row r="75" spans="1:6" ht="15.75" customHeight="1" x14ac:dyDescent="0.35">
      <c r="A75" s="7" t="s">
        <v>533</v>
      </c>
      <c r="B75" s="9" t="s">
        <v>629</v>
      </c>
      <c r="C75" s="10" t="s">
        <v>500</v>
      </c>
      <c r="D75" s="10" t="s">
        <v>531</v>
      </c>
      <c r="E75" s="10" t="s">
        <v>702</v>
      </c>
      <c r="F75" s="9">
        <f>COUNTIF('Product Backlog'!$H$3:$H$87,"*"&amp;A75&amp;"*")</f>
        <v>1</v>
      </c>
    </row>
    <row r="76" spans="1:6" ht="15.75" customHeight="1" x14ac:dyDescent="0.35">
      <c r="A76" s="14" t="s">
        <v>539</v>
      </c>
      <c r="B76" s="15" t="s">
        <v>629</v>
      </c>
      <c r="C76" s="16" t="s">
        <v>500</v>
      </c>
      <c r="D76" s="16" t="s">
        <v>537</v>
      </c>
      <c r="E76" s="16" t="s">
        <v>703</v>
      </c>
      <c r="F76" s="15">
        <f>COUNTIF('Product Backlog'!$H$3:$H$87,"*"&amp;A76&amp;"*")</f>
        <v>1</v>
      </c>
    </row>
    <row r="77" spans="1:6" ht="15.75" customHeight="1" x14ac:dyDescent="0.35">
      <c r="A77" s="7" t="s">
        <v>548</v>
      </c>
      <c r="B77" s="9" t="s">
        <v>629</v>
      </c>
      <c r="C77" s="10" t="s">
        <v>544</v>
      </c>
      <c r="D77" s="10" t="s">
        <v>545</v>
      </c>
      <c r="E77" s="10" t="s">
        <v>704</v>
      </c>
      <c r="F77" s="9">
        <f>COUNTIF('Product Backlog'!$H$3:$H$87,"*"&amp;A77&amp;"*")</f>
        <v>1</v>
      </c>
    </row>
    <row r="78" spans="1:6" ht="15.75" customHeight="1" x14ac:dyDescent="0.35">
      <c r="A78" s="14" t="s">
        <v>556</v>
      </c>
      <c r="B78" s="15" t="s">
        <v>629</v>
      </c>
      <c r="C78" s="16" t="s">
        <v>544</v>
      </c>
      <c r="D78" s="16" t="s">
        <v>554</v>
      </c>
      <c r="E78" s="16" t="s">
        <v>705</v>
      </c>
      <c r="F78" s="15">
        <f>COUNTIF('Product Backlog'!$H$3:$H$87,"*"&amp;A78&amp;"*")</f>
        <v>1</v>
      </c>
    </row>
    <row r="79" spans="1:6" ht="15.75" customHeight="1" x14ac:dyDescent="0.35">
      <c r="A79" s="7" t="s">
        <v>561</v>
      </c>
      <c r="B79" s="9" t="s">
        <v>629</v>
      </c>
      <c r="C79" s="10" t="s">
        <v>544</v>
      </c>
      <c r="D79" s="10" t="s">
        <v>559</v>
      </c>
      <c r="E79" s="10" t="s">
        <v>706</v>
      </c>
      <c r="F79" s="9">
        <f>COUNTIF('Product Backlog'!$H$3:$H$87,"*"&amp;A79&amp;"*")</f>
        <v>1</v>
      </c>
    </row>
    <row r="80" spans="1:6" ht="15.75" customHeight="1" x14ac:dyDescent="0.35">
      <c r="A80" s="14" t="s">
        <v>568</v>
      </c>
      <c r="B80" s="15" t="s">
        <v>629</v>
      </c>
      <c r="C80" s="16" t="s">
        <v>565</v>
      </c>
      <c r="D80" s="16" t="s">
        <v>566</v>
      </c>
      <c r="E80" s="16" t="s">
        <v>707</v>
      </c>
      <c r="F80" s="15">
        <f>COUNTIF('Product Backlog'!$H$3:$H$87,"*"&amp;A80&amp;"*")</f>
        <v>1</v>
      </c>
    </row>
    <row r="81" spans="1:6" ht="15.75" customHeight="1" x14ac:dyDescent="0.35">
      <c r="A81" s="7" t="s">
        <v>573</v>
      </c>
      <c r="B81" s="9" t="s">
        <v>629</v>
      </c>
      <c r="C81" s="10" t="s">
        <v>565</v>
      </c>
      <c r="D81" s="10" t="s">
        <v>571</v>
      </c>
      <c r="E81" s="10" t="s">
        <v>708</v>
      </c>
      <c r="F81" s="9">
        <f>COUNTIF('Product Backlog'!$H$3:$H$87,"*"&amp;A81&amp;"*")</f>
        <v>1</v>
      </c>
    </row>
    <row r="82" spans="1:6" ht="15.75" customHeight="1" x14ac:dyDescent="0.35">
      <c r="A82" s="14" t="s">
        <v>580</v>
      </c>
      <c r="B82" s="15" t="s">
        <v>629</v>
      </c>
      <c r="C82" s="16" t="s">
        <v>565</v>
      </c>
      <c r="D82" s="16" t="s">
        <v>578</v>
      </c>
      <c r="E82" s="16" t="s">
        <v>709</v>
      </c>
      <c r="F82" s="15">
        <f>COUNTIF('Product Backlog'!$H$3:$H$87,"*"&amp;A82&amp;"*")</f>
        <v>1</v>
      </c>
    </row>
    <row r="83" spans="1:6" ht="15.75" customHeight="1" x14ac:dyDescent="0.35">
      <c r="A83" s="7" t="s">
        <v>586</v>
      </c>
      <c r="B83" s="9" t="s">
        <v>710</v>
      </c>
      <c r="C83" s="10" t="s">
        <v>583</v>
      </c>
      <c r="D83" s="10" t="s">
        <v>584</v>
      </c>
      <c r="E83" s="10" t="s">
        <v>711</v>
      </c>
      <c r="F83" s="9">
        <f>COUNTIF('Product Backlog'!$H$3:$H$87,"*"&amp;A83&amp;"*")</f>
        <v>1</v>
      </c>
    </row>
    <row r="84" spans="1:6" ht="15.75" customHeight="1" x14ac:dyDescent="0.35">
      <c r="A84" s="14" t="s">
        <v>592</v>
      </c>
      <c r="B84" s="15" t="s">
        <v>710</v>
      </c>
      <c r="C84" s="16" t="s">
        <v>583</v>
      </c>
      <c r="D84" s="16" t="s">
        <v>590</v>
      </c>
      <c r="E84" s="16" t="s">
        <v>712</v>
      </c>
      <c r="F84" s="15">
        <f>COUNTIF('Product Backlog'!$H$3:$H$87,"*"&amp;A84&amp;"*")</f>
        <v>1</v>
      </c>
    </row>
    <row r="85" spans="1:6" ht="15.75" customHeight="1" x14ac:dyDescent="0.35">
      <c r="A85" s="7" t="s">
        <v>598</v>
      </c>
      <c r="B85" s="9" t="s">
        <v>710</v>
      </c>
      <c r="C85" s="10" t="s">
        <v>583</v>
      </c>
      <c r="D85" s="10" t="s">
        <v>596</v>
      </c>
      <c r="E85" s="10" t="s">
        <v>713</v>
      </c>
      <c r="F85" s="9">
        <f>COUNTIF('Product Backlog'!$H$3:$H$87,"*"&amp;A85&amp;"*")</f>
        <v>1</v>
      </c>
    </row>
    <row r="86" spans="1:6" ht="15.75" customHeight="1" x14ac:dyDescent="0.35">
      <c r="A86" s="14" t="s">
        <v>606</v>
      </c>
      <c r="B86" s="15" t="s">
        <v>710</v>
      </c>
      <c r="C86" s="16" t="s">
        <v>583</v>
      </c>
      <c r="D86" s="16" t="s">
        <v>603</v>
      </c>
      <c r="E86" s="16" t="s">
        <v>714</v>
      </c>
      <c r="F86" s="15">
        <f>COUNTIF('Product Backlog'!$H$3:$H$87,"*"&amp;A86&amp;"*")</f>
        <v>1</v>
      </c>
    </row>
    <row r="87" spans="1:6" ht="15.75" customHeight="1" x14ac:dyDescent="0.35">
      <c r="A87" s="7" t="s">
        <v>614</v>
      </c>
      <c r="B87" s="9" t="s">
        <v>710</v>
      </c>
      <c r="C87" s="10" t="s">
        <v>583</v>
      </c>
      <c r="D87" s="10" t="s">
        <v>612</v>
      </c>
      <c r="E87" s="10" t="s">
        <v>715</v>
      </c>
      <c r="F87" s="9">
        <f>COUNTIF('Product Backlog'!$H$3:$H$87,"*"&amp;A87&amp;"*")</f>
        <v>1</v>
      </c>
    </row>
    <row r="88" spans="1:6" ht="15.75" customHeight="1" x14ac:dyDescent="0.35">
      <c r="A88" s="1"/>
      <c r="B88" s="1"/>
      <c r="C88" s="1"/>
      <c r="D88" s="1"/>
      <c r="E88" s="1"/>
      <c r="F88" s="1"/>
    </row>
    <row r="89" spans="1:6" ht="15.75" customHeight="1" x14ac:dyDescent="0.35">
      <c r="A89" s="1"/>
      <c r="B89" s="1"/>
      <c r="C89" s="1"/>
      <c r="D89" s="10" t="s">
        <v>716</v>
      </c>
      <c r="E89" s="10">
        <f>COUNTIF(B3:B87,"Funcional")</f>
        <v>80</v>
      </c>
      <c r="F89" s="1"/>
    </row>
    <row r="90" spans="1:6" ht="15.75" customHeight="1" x14ac:dyDescent="0.35">
      <c r="A90" s="1"/>
      <c r="B90" s="1"/>
      <c r="C90" s="1"/>
      <c r="D90" s="16" t="s">
        <v>717</v>
      </c>
      <c r="E90" s="16">
        <f>COUNTIF(B3:B87,"No funcional")</f>
        <v>5</v>
      </c>
      <c r="F90" s="1"/>
    </row>
    <row r="91" spans="1:6" ht="15.75" customHeight="1" x14ac:dyDescent="0.35">
      <c r="A91" s="1"/>
      <c r="B91" s="1"/>
      <c r="C91" s="1"/>
      <c r="D91" s="10" t="s">
        <v>718</v>
      </c>
      <c r="E91" s="10">
        <f>E89+E90</f>
        <v>85</v>
      </c>
      <c r="F91" s="1"/>
    </row>
    <row r="92" spans="1:6" ht="15.75" customHeight="1" x14ac:dyDescent="0.35">
      <c r="A92" s="1"/>
      <c r="B92" s="1"/>
      <c r="C92" s="1"/>
      <c r="D92" s="1"/>
      <c r="E92" s="1"/>
      <c r="F92" s="1"/>
    </row>
    <row r="93" spans="1:6" ht="15.75" customHeight="1" x14ac:dyDescent="0.35">
      <c r="A93" s="1"/>
      <c r="B93" s="1"/>
      <c r="C93" s="1"/>
      <c r="D93" s="1"/>
      <c r="E93" s="1"/>
      <c r="F93" s="1"/>
    </row>
    <row r="94" spans="1:6" ht="15.75" customHeight="1" x14ac:dyDescent="0.35">
      <c r="A94" s="1"/>
      <c r="B94" s="1"/>
      <c r="C94" s="1"/>
      <c r="D94" s="1"/>
      <c r="E94" s="1"/>
      <c r="F94" s="1"/>
    </row>
    <row r="95" spans="1:6" ht="15.75" customHeight="1" x14ac:dyDescent="0.35">
      <c r="A95" s="1"/>
      <c r="B95" s="1"/>
      <c r="C95" s="1"/>
      <c r="D95" s="1"/>
      <c r="E95" s="1"/>
      <c r="F95" s="1"/>
    </row>
    <row r="96" spans="1:6" ht="15.75" customHeight="1" x14ac:dyDescent="0.35">
      <c r="A96" s="1"/>
      <c r="B96" s="1"/>
      <c r="C96" s="1"/>
      <c r="D96" s="1"/>
      <c r="E96" s="1"/>
      <c r="F96" s="1"/>
    </row>
    <row r="97" spans="1:6" ht="15.75" customHeight="1" x14ac:dyDescent="0.35">
      <c r="A97" s="1"/>
      <c r="B97" s="1"/>
      <c r="C97" s="1"/>
      <c r="D97" s="1"/>
      <c r="E97" s="1"/>
      <c r="F97" s="1"/>
    </row>
    <row r="98" spans="1:6" ht="15.75" customHeight="1" x14ac:dyDescent="0.35">
      <c r="A98" s="1"/>
      <c r="B98" s="1"/>
      <c r="C98" s="1"/>
      <c r="D98" s="1"/>
      <c r="E98" s="1"/>
      <c r="F98" s="1"/>
    </row>
    <row r="99" spans="1:6" ht="15.75" customHeight="1" x14ac:dyDescent="0.35">
      <c r="A99" s="1"/>
      <c r="B99" s="1"/>
      <c r="C99" s="1"/>
      <c r="D99" s="1"/>
      <c r="E99" s="1"/>
      <c r="F99" s="1"/>
    </row>
    <row r="100" spans="1:6" ht="15.75" customHeight="1" x14ac:dyDescent="0.35">
      <c r="A100" s="1"/>
      <c r="B100" s="1"/>
      <c r="C100" s="1"/>
      <c r="D100" s="1"/>
      <c r="E100" s="1"/>
      <c r="F100" s="1"/>
    </row>
    <row r="101" spans="1:6" ht="15.75" customHeight="1" x14ac:dyDescent="0.35">
      <c r="A101" s="1"/>
      <c r="B101" s="1"/>
      <c r="C101" s="1"/>
      <c r="D101" s="1"/>
      <c r="E101" s="1"/>
      <c r="F101" s="1"/>
    </row>
    <row r="102" spans="1:6" ht="15.75" customHeight="1" x14ac:dyDescent="0.35">
      <c r="A102" s="1"/>
      <c r="B102" s="1"/>
      <c r="C102" s="1"/>
      <c r="D102" s="1"/>
      <c r="E102" s="1"/>
      <c r="F102" s="1"/>
    </row>
    <row r="103" spans="1:6" ht="15.75" customHeight="1" x14ac:dyDescent="0.35">
      <c r="A103" s="1"/>
      <c r="B103" s="1"/>
      <c r="C103" s="1"/>
      <c r="D103" s="1"/>
      <c r="E103" s="1"/>
      <c r="F103" s="1"/>
    </row>
    <row r="104" spans="1:6" ht="15.75" customHeight="1" x14ac:dyDescent="0.35">
      <c r="A104" s="1"/>
      <c r="B104" s="1"/>
      <c r="C104" s="1"/>
      <c r="D104" s="1"/>
      <c r="E104" s="1"/>
      <c r="F104" s="1"/>
    </row>
    <row r="105" spans="1:6" ht="15.75" customHeight="1" x14ac:dyDescent="0.35">
      <c r="A105" s="1"/>
      <c r="B105" s="1"/>
      <c r="C105" s="1"/>
      <c r="D105" s="1"/>
      <c r="E105" s="1"/>
      <c r="F105" s="1"/>
    </row>
    <row r="106" spans="1:6" ht="15.75" customHeight="1" x14ac:dyDescent="0.35">
      <c r="A106" s="1"/>
      <c r="B106" s="1"/>
      <c r="C106" s="1"/>
      <c r="D106" s="1"/>
      <c r="E106" s="1"/>
      <c r="F106" s="1"/>
    </row>
    <row r="107" spans="1:6" ht="15.75" customHeight="1" x14ac:dyDescent="0.35">
      <c r="A107" s="1"/>
      <c r="B107" s="1"/>
      <c r="C107" s="1"/>
      <c r="D107" s="1"/>
      <c r="E107" s="1"/>
      <c r="F107" s="1"/>
    </row>
    <row r="108" spans="1:6" ht="15.75" customHeight="1" x14ac:dyDescent="0.35">
      <c r="A108" s="1"/>
      <c r="B108" s="1"/>
      <c r="C108" s="1"/>
      <c r="D108" s="1"/>
      <c r="E108" s="1"/>
      <c r="F108" s="1"/>
    </row>
    <row r="109" spans="1:6" ht="15.75" customHeight="1" x14ac:dyDescent="0.35">
      <c r="A109" s="1"/>
      <c r="B109" s="1"/>
      <c r="C109" s="1"/>
      <c r="D109" s="1"/>
      <c r="E109" s="1"/>
      <c r="F109" s="1"/>
    </row>
    <row r="110" spans="1:6" ht="15.75" customHeight="1" x14ac:dyDescent="0.35">
      <c r="A110" s="1"/>
      <c r="B110" s="1"/>
      <c r="C110" s="1"/>
      <c r="D110" s="1"/>
      <c r="E110" s="1"/>
      <c r="F110" s="1"/>
    </row>
    <row r="111" spans="1:6" ht="15.75" customHeight="1" x14ac:dyDescent="0.35">
      <c r="A111" s="1"/>
      <c r="B111" s="1"/>
      <c r="C111" s="1"/>
      <c r="D111" s="1"/>
      <c r="E111" s="1"/>
      <c r="F111" s="1"/>
    </row>
    <row r="112" spans="1:6" ht="15.75" customHeight="1" x14ac:dyDescent="0.35">
      <c r="A112" s="1"/>
      <c r="B112" s="1"/>
      <c r="C112" s="1"/>
      <c r="D112" s="1"/>
      <c r="E112" s="1"/>
      <c r="F112" s="1"/>
    </row>
    <row r="113" spans="1:6" ht="15.75" customHeight="1" x14ac:dyDescent="0.35">
      <c r="A113" s="1"/>
      <c r="B113" s="1"/>
      <c r="C113" s="1"/>
      <c r="D113" s="1"/>
      <c r="E113" s="1"/>
      <c r="F113" s="1"/>
    </row>
    <row r="114" spans="1:6" ht="15.75" customHeight="1" x14ac:dyDescent="0.35">
      <c r="A114" s="1"/>
      <c r="B114" s="1"/>
      <c r="C114" s="1"/>
      <c r="D114" s="1"/>
      <c r="E114" s="1"/>
      <c r="F114" s="1"/>
    </row>
    <row r="115" spans="1:6" ht="15.75" customHeight="1" x14ac:dyDescent="0.35">
      <c r="A115" s="1"/>
      <c r="B115" s="1"/>
      <c r="C115" s="1"/>
      <c r="D115" s="1"/>
      <c r="E115" s="1"/>
      <c r="F115" s="1"/>
    </row>
    <row r="116" spans="1:6" ht="15.75" customHeight="1" x14ac:dyDescent="0.35">
      <c r="A116" s="1"/>
      <c r="B116" s="1"/>
      <c r="C116" s="1"/>
      <c r="D116" s="1"/>
      <c r="E116" s="1"/>
      <c r="F116" s="1"/>
    </row>
    <row r="117" spans="1:6" ht="15.75" customHeight="1" x14ac:dyDescent="0.35">
      <c r="A117" s="1"/>
      <c r="B117" s="1"/>
      <c r="C117" s="1"/>
      <c r="D117" s="1"/>
      <c r="E117" s="1"/>
      <c r="F117" s="1"/>
    </row>
    <row r="118" spans="1:6" ht="15.75" customHeight="1" x14ac:dyDescent="0.35">
      <c r="A118" s="1"/>
      <c r="B118" s="1"/>
      <c r="C118" s="1"/>
      <c r="D118" s="1"/>
      <c r="E118" s="1"/>
      <c r="F118" s="1"/>
    </row>
    <row r="119" spans="1:6" ht="15.75" customHeight="1" x14ac:dyDescent="0.35">
      <c r="A119" s="1"/>
      <c r="B119" s="1"/>
      <c r="C119" s="1"/>
      <c r="D119" s="1"/>
      <c r="E119" s="1"/>
      <c r="F119" s="1"/>
    </row>
    <row r="120" spans="1:6" ht="15.75" customHeight="1" x14ac:dyDescent="0.35">
      <c r="A120" s="1"/>
      <c r="B120" s="1"/>
      <c r="C120" s="1"/>
      <c r="D120" s="1"/>
      <c r="E120" s="1"/>
      <c r="F120" s="1"/>
    </row>
    <row r="121" spans="1:6" ht="15.75" customHeight="1" x14ac:dyDescent="0.35">
      <c r="A121" s="1"/>
      <c r="B121" s="1"/>
      <c r="C121" s="1"/>
      <c r="D121" s="1"/>
      <c r="E121" s="1"/>
      <c r="F121" s="1"/>
    </row>
    <row r="122" spans="1:6" ht="15.75" customHeight="1" x14ac:dyDescent="0.35">
      <c r="A122" s="1"/>
      <c r="B122" s="1"/>
      <c r="C122" s="1"/>
      <c r="D122" s="1"/>
      <c r="E122" s="1"/>
      <c r="F122" s="1"/>
    </row>
    <row r="123" spans="1:6" ht="15.75" customHeight="1" x14ac:dyDescent="0.35">
      <c r="A123" s="1"/>
      <c r="B123" s="1"/>
      <c r="C123" s="1"/>
      <c r="D123" s="1"/>
      <c r="E123" s="1"/>
      <c r="F123" s="1"/>
    </row>
    <row r="124" spans="1:6" ht="15.75" customHeight="1" x14ac:dyDescent="0.35">
      <c r="A124" s="1"/>
      <c r="B124" s="1"/>
      <c r="C124" s="1"/>
      <c r="D124" s="1"/>
      <c r="E124" s="1"/>
      <c r="F124" s="1"/>
    </row>
    <row r="125" spans="1:6" ht="15.75" customHeight="1" x14ac:dyDescent="0.35">
      <c r="A125" s="1"/>
      <c r="B125" s="1"/>
      <c r="C125" s="1"/>
      <c r="D125" s="1"/>
      <c r="E125" s="1"/>
      <c r="F125" s="1"/>
    </row>
    <row r="126" spans="1:6" ht="15.75" customHeight="1" x14ac:dyDescent="0.35">
      <c r="A126" s="1"/>
      <c r="B126" s="1"/>
      <c r="C126" s="1"/>
      <c r="D126" s="1"/>
      <c r="E126" s="1"/>
      <c r="F126" s="1"/>
    </row>
    <row r="127" spans="1:6" ht="15.75" customHeight="1" x14ac:dyDescent="0.35">
      <c r="A127" s="1"/>
      <c r="B127" s="1"/>
      <c r="C127" s="1"/>
      <c r="D127" s="1"/>
      <c r="E127" s="1"/>
      <c r="F127" s="1"/>
    </row>
    <row r="128" spans="1:6" ht="15.75" customHeight="1" x14ac:dyDescent="0.35">
      <c r="A128" s="1"/>
      <c r="B128" s="1"/>
      <c r="C128" s="1"/>
      <c r="D128" s="1"/>
      <c r="E128" s="1"/>
      <c r="F128" s="1"/>
    </row>
    <row r="129" spans="1:6" ht="15.75" customHeight="1" x14ac:dyDescent="0.35">
      <c r="A129" s="1"/>
      <c r="B129" s="1"/>
      <c r="C129" s="1"/>
      <c r="D129" s="1"/>
      <c r="E129" s="1"/>
      <c r="F129" s="1"/>
    </row>
    <row r="130" spans="1:6" ht="15.75" customHeight="1" x14ac:dyDescent="0.35">
      <c r="A130" s="1"/>
      <c r="B130" s="1"/>
      <c r="C130" s="1"/>
      <c r="D130" s="1"/>
      <c r="E130" s="1"/>
      <c r="F130" s="1"/>
    </row>
    <row r="131" spans="1:6" ht="15.75" customHeight="1" x14ac:dyDescent="0.35">
      <c r="A131" s="1"/>
      <c r="B131" s="1"/>
      <c r="C131" s="1"/>
      <c r="D131" s="1"/>
      <c r="E131" s="1"/>
      <c r="F131" s="1"/>
    </row>
    <row r="132" spans="1:6" ht="15.75" customHeight="1" x14ac:dyDescent="0.35">
      <c r="A132" s="1"/>
      <c r="B132" s="1"/>
      <c r="C132" s="1"/>
      <c r="D132" s="1"/>
      <c r="E132" s="1"/>
      <c r="F132" s="1"/>
    </row>
    <row r="133" spans="1:6" ht="15.75" customHeight="1" x14ac:dyDescent="0.35">
      <c r="A133" s="1"/>
      <c r="B133" s="1"/>
      <c r="C133" s="1"/>
      <c r="D133" s="1"/>
      <c r="E133" s="1"/>
      <c r="F133" s="1"/>
    </row>
    <row r="134" spans="1:6" ht="15.75" customHeight="1" x14ac:dyDescent="0.35">
      <c r="A134" s="1"/>
      <c r="B134" s="1"/>
      <c r="C134" s="1"/>
      <c r="D134" s="1"/>
      <c r="E134" s="1"/>
      <c r="F134" s="1"/>
    </row>
    <row r="135" spans="1:6" ht="15.75" customHeight="1" x14ac:dyDescent="0.35">
      <c r="A135" s="1"/>
      <c r="B135" s="1"/>
      <c r="C135" s="1"/>
      <c r="D135" s="1"/>
      <c r="E135" s="1"/>
      <c r="F135" s="1"/>
    </row>
    <row r="136" spans="1:6" ht="15.75" customHeight="1" x14ac:dyDescent="0.35">
      <c r="A136" s="1"/>
      <c r="B136" s="1"/>
      <c r="C136" s="1"/>
      <c r="D136" s="1"/>
      <c r="E136" s="1"/>
      <c r="F136" s="1"/>
    </row>
    <row r="137" spans="1:6" ht="15.75" customHeight="1" x14ac:dyDescent="0.35">
      <c r="A137" s="1"/>
      <c r="B137" s="1"/>
      <c r="C137" s="1"/>
      <c r="D137" s="1"/>
      <c r="E137" s="1"/>
      <c r="F137" s="1"/>
    </row>
    <row r="138" spans="1:6" ht="15.75" customHeight="1" x14ac:dyDescent="0.35">
      <c r="A138" s="1"/>
      <c r="B138" s="1"/>
      <c r="C138" s="1"/>
      <c r="D138" s="1"/>
      <c r="E138" s="1"/>
      <c r="F138" s="1"/>
    </row>
    <row r="139" spans="1:6" ht="15.75" customHeight="1" x14ac:dyDescent="0.35">
      <c r="A139" s="1"/>
      <c r="B139" s="1"/>
      <c r="C139" s="1"/>
      <c r="D139" s="1"/>
      <c r="E139" s="1"/>
      <c r="F139" s="1"/>
    </row>
    <row r="140" spans="1:6" ht="15.75" customHeight="1" x14ac:dyDescent="0.35">
      <c r="A140" s="1"/>
      <c r="B140" s="1"/>
      <c r="C140" s="1"/>
      <c r="D140" s="1"/>
      <c r="E140" s="1"/>
      <c r="F140" s="1"/>
    </row>
    <row r="141" spans="1:6" ht="15.75" customHeight="1" x14ac:dyDescent="0.35">
      <c r="A141" s="1"/>
      <c r="B141" s="1"/>
      <c r="C141" s="1"/>
      <c r="D141" s="1"/>
      <c r="E141" s="1"/>
      <c r="F141" s="1"/>
    </row>
    <row r="142" spans="1:6" ht="15.75" customHeight="1" x14ac:dyDescent="0.35">
      <c r="A142" s="1"/>
      <c r="B142" s="1"/>
      <c r="C142" s="1"/>
      <c r="D142" s="1"/>
      <c r="E142" s="1"/>
      <c r="F142" s="1"/>
    </row>
    <row r="143" spans="1:6" ht="15.75" customHeight="1" x14ac:dyDescent="0.35">
      <c r="A143" s="1"/>
      <c r="B143" s="1"/>
      <c r="C143" s="1"/>
      <c r="D143" s="1"/>
      <c r="E143" s="1"/>
      <c r="F143" s="1"/>
    </row>
    <row r="144" spans="1:6" ht="15.75" customHeight="1" x14ac:dyDescent="0.35">
      <c r="A144" s="1"/>
      <c r="B144" s="1"/>
      <c r="C144" s="1"/>
      <c r="D144" s="1"/>
      <c r="E144" s="1"/>
      <c r="F144" s="1"/>
    </row>
    <row r="145" spans="1:6" ht="15.75" customHeight="1" x14ac:dyDescent="0.35">
      <c r="A145" s="1"/>
      <c r="B145" s="1"/>
      <c r="C145" s="1"/>
      <c r="D145" s="1"/>
      <c r="E145" s="1"/>
      <c r="F145" s="1"/>
    </row>
    <row r="146" spans="1:6" ht="15.75" customHeight="1" x14ac:dyDescent="0.35">
      <c r="A146" s="1"/>
      <c r="B146" s="1"/>
      <c r="C146" s="1"/>
      <c r="D146" s="1"/>
      <c r="E146" s="1"/>
      <c r="F146" s="1"/>
    </row>
    <row r="147" spans="1:6" ht="15.75" customHeight="1" x14ac:dyDescent="0.35">
      <c r="A147" s="1"/>
      <c r="B147" s="1"/>
      <c r="C147" s="1"/>
      <c r="D147" s="1"/>
      <c r="E147" s="1"/>
      <c r="F147" s="1"/>
    </row>
    <row r="148" spans="1:6" ht="15.75" customHeight="1" x14ac:dyDescent="0.35">
      <c r="A148" s="1"/>
      <c r="B148" s="1"/>
      <c r="C148" s="1"/>
      <c r="D148" s="1"/>
      <c r="E148" s="1"/>
      <c r="F148" s="1"/>
    </row>
    <row r="149" spans="1:6" ht="15.75" customHeight="1" x14ac:dyDescent="0.35">
      <c r="A149" s="1"/>
      <c r="B149" s="1"/>
      <c r="C149" s="1"/>
      <c r="D149" s="1"/>
      <c r="E149" s="1"/>
      <c r="F149" s="1"/>
    </row>
    <row r="150" spans="1:6" ht="15.75" customHeight="1" x14ac:dyDescent="0.35">
      <c r="A150" s="1"/>
      <c r="B150" s="1"/>
      <c r="C150" s="1"/>
      <c r="D150" s="1"/>
      <c r="E150" s="1"/>
      <c r="F150" s="1"/>
    </row>
    <row r="151" spans="1:6" ht="15.75" customHeight="1" x14ac:dyDescent="0.35">
      <c r="A151" s="1"/>
      <c r="B151" s="1"/>
      <c r="C151" s="1"/>
      <c r="D151" s="1"/>
      <c r="E151" s="1"/>
      <c r="F151" s="1"/>
    </row>
    <row r="152" spans="1:6" ht="15.75" customHeight="1" x14ac:dyDescent="0.35">
      <c r="A152" s="1"/>
      <c r="B152" s="1"/>
      <c r="C152" s="1"/>
      <c r="D152" s="1"/>
      <c r="E152" s="1"/>
      <c r="F152" s="1"/>
    </row>
    <row r="153" spans="1:6" ht="15.75" customHeight="1" x14ac:dyDescent="0.35">
      <c r="A153" s="1"/>
      <c r="B153" s="1"/>
      <c r="C153" s="1"/>
      <c r="D153" s="1"/>
      <c r="E153" s="1"/>
      <c r="F153" s="1"/>
    </row>
    <row r="154" spans="1:6" ht="15.75" customHeight="1" x14ac:dyDescent="0.35">
      <c r="A154" s="1"/>
      <c r="B154" s="1"/>
      <c r="C154" s="1"/>
      <c r="D154" s="1"/>
      <c r="E154" s="1"/>
      <c r="F154" s="1"/>
    </row>
    <row r="155" spans="1:6" ht="15.75" customHeight="1" x14ac:dyDescent="0.35">
      <c r="A155" s="1"/>
      <c r="B155" s="1"/>
      <c r="C155" s="1"/>
      <c r="D155" s="1"/>
      <c r="E155" s="1"/>
      <c r="F155" s="1"/>
    </row>
    <row r="156" spans="1:6" ht="15.75" customHeight="1" x14ac:dyDescent="0.35">
      <c r="A156" s="1"/>
      <c r="B156" s="1"/>
      <c r="C156" s="1"/>
      <c r="D156" s="1"/>
      <c r="E156" s="1"/>
      <c r="F156" s="1"/>
    </row>
    <row r="157" spans="1:6" ht="15.75" customHeight="1" x14ac:dyDescent="0.35">
      <c r="A157" s="1"/>
      <c r="B157" s="1"/>
      <c r="C157" s="1"/>
      <c r="D157" s="1"/>
      <c r="E157" s="1"/>
      <c r="F157" s="1"/>
    </row>
    <row r="158" spans="1:6" ht="15.75" customHeight="1" x14ac:dyDescent="0.35">
      <c r="A158" s="1"/>
      <c r="B158" s="1"/>
      <c r="C158" s="1"/>
      <c r="D158" s="1"/>
      <c r="E158" s="1"/>
      <c r="F158" s="1"/>
    </row>
    <row r="159" spans="1:6" ht="15.75" customHeight="1" x14ac:dyDescent="0.35">
      <c r="A159" s="1"/>
      <c r="B159" s="1"/>
      <c r="C159" s="1"/>
      <c r="D159" s="1"/>
      <c r="E159" s="1"/>
      <c r="F159" s="1"/>
    </row>
    <row r="160" spans="1:6" ht="15.75" customHeight="1" x14ac:dyDescent="0.35">
      <c r="A160" s="1"/>
      <c r="B160" s="1"/>
      <c r="C160" s="1"/>
      <c r="D160" s="1"/>
      <c r="E160" s="1"/>
      <c r="F160" s="1"/>
    </row>
    <row r="161" spans="1:6" ht="15.75" customHeight="1" x14ac:dyDescent="0.35">
      <c r="A161" s="1"/>
      <c r="B161" s="1"/>
      <c r="C161" s="1"/>
      <c r="D161" s="1"/>
      <c r="E161" s="1"/>
      <c r="F161" s="1"/>
    </row>
    <row r="162" spans="1:6" ht="15.75" customHeight="1" x14ac:dyDescent="0.35">
      <c r="A162" s="1"/>
      <c r="B162" s="1"/>
      <c r="C162" s="1"/>
      <c r="D162" s="1"/>
      <c r="E162" s="1"/>
      <c r="F162" s="1"/>
    </row>
    <row r="163" spans="1:6" ht="15.75" customHeight="1" x14ac:dyDescent="0.35">
      <c r="A163" s="1"/>
      <c r="B163" s="1"/>
      <c r="C163" s="1"/>
      <c r="D163" s="1"/>
      <c r="E163" s="1"/>
      <c r="F163" s="1"/>
    </row>
    <row r="164" spans="1:6" ht="15.75" customHeight="1" x14ac:dyDescent="0.35">
      <c r="A164" s="1"/>
      <c r="B164" s="1"/>
      <c r="C164" s="1"/>
      <c r="D164" s="1"/>
      <c r="E164" s="1"/>
      <c r="F164" s="1"/>
    </row>
    <row r="165" spans="1:6" ht="15.75" customHeight="1" x14ac:dyDescent="0.35">
      <c r="A165" s="1"/>
      <c r="B165" s="1"/>
      <c r="C165" s="1"/>
      <c r="D165" s="1"/>
      <c r="E165" s="1"/>
      <c r="F165" s="1"/>
    </row>
    <row r="166" spans="1:6" ht="15.75" customHeight="1" x14ac:dyDescent="0.35">
      <c r="A166" s="1"/>
      <c r="B166" s="1"/>
      <c r="C166" s="1"/>
      <c r="D166" s="1"/>
      <c r="E166" s="1"/>
      <c r="F166" s="1"/>
    </row>
    <row r="167" spans="1:6" ht="15.75" customHeight="1" x14ac:dyDescent="0.35">
      <c r="A167" s="1"/>
      <c r="B167" s="1"/>
      <c r="C167" s="1"/>
      <c r="D167" s="1"/>
      <c r="E167" s="1"/>
      <c r="F167" s="1"/>
    </row>
    <row r="168" spans="1:6" ht="15.75" customHeight="1" x14ac:dyDescent="0.35">
      <c r="A168" s="1"/>
      <c r="B168" s="1"/>
      <c r="C168" s="1"/>
      <c r="D168" s="1"/>
      <c r="E168" s="1"/>
      <c r="F168" s="1"/>
    </row>
    <row r="169" spans="1:6" ht="15.75" customHeight="1" x14ac:dyDescent="0.35">
      <c r="A169" s="1"/>
      <c r="B169" s="1"/>
      <c r="C169" s="1"/>
      <c r="D169" s="1"/>
      <c r="E169" s="1"/>
      <c r="F169" s="1"/>
    </row>
    <row r="170" spans="1:6" ht="15.75" customHeight="1" x14ac:dyDescent="0.35">
      <c r="A170" s="1"/>
      <c r="B170" s="1"/>
      <c r="C170" s="1"/>
      <c r="D170" s="1"/>
      <c r="E170" s="1"/>
      <c r="F170" s="1"/>
    </row>
    <row r="171" spans="1:6" ht="15.75" customHeight="1" x14ac:dyDescent="0.35">
      <c r="A171" s="1"/>
      <c r="B171" s="1"/>
      <c r="C171" s="1"/>
      <c r="D171" s="1"/>
      <c r="E171" s="1"/>
      <c r="F171" s="1"/>
    </row>
    <row r="172" spans="1:6" ht="15.75" customHeight="1" x14ac:dyDescent="0.35">
      <c r="A172" s="1"/>
      <c r="B172" s="1"/>
      <c r="C172" s="1"/>
      <c r="D172" s="1"/>
      <c r="E172" s="1"/>
      <c r="F172" s="1"/>
    </row>
    <row r="173" spans="1:6" ht="15.75" customHeight="1" x14ac:dyDescent="0.35">
      <c r="A173" s="1"/>
      <c r="B173" s="1"/>
      <c r="C173" s="1"/>
      <c r="D173" s="1"/>
      <c r="E173" s="1"/>
      <c r="F173" s="1"/>
    </row>
    <row r="174" spans="1:6" ht="15.75" customHeight="1" x14ac:dyDescent="0.35">
      <c r="A174" s="1"/>
      <c r="B174" s="1"/>
      <c r="C174" s="1"/>
      <c r="D174" s="1"/>
      <c r="E174" s="1"/>
      <c r="F174" s="1"/>
    </row>
    <row r="175" spans="1:6" ht="15.75" customHeight="1" x14ac:dyDescent="0.35">
      <c r="A175" s="1"/>
      <c r="B175" s="1"/>
      <c r="C175" s="1"/>
      <c r="D175" s="1"/>
      <c r="E175" s="1"/>
      <c r="F175" s="1"/>
    </row>
    <row r="176" spans="1:6" ht="15.75" customHeight="1" x14ac:dyDescent="0.35">
      <c r="A176" s="1"/>
      <c r="B176" s="1"/>
      <c r="C176" s="1"/>
      <c r="D176" s="1"/>
      <c r="E176" s="1"/>
      <c r="F176" s="1"/>
    </row>
    <row r="177" spans="1:6" ht="15.75" customHeight="1" x14ac:dyDescent="0.35">
      <c r="A177" s="1"/>
      <c r="B177" s="1"/>
      <c r="C177" s="1"/>
      <c r="D177" s="1"/>
      <c r="E177" s="1"/>
      <c r="F177" s="1"/>
    </row>
    <row r="178" spans="1:6" ht="15.75" customHeight="1" x14ac:dyDescent="0.35">
      <c r="A178" s="1"/>
      <c r="B178" s="1"/>
      <c r="C178" s="1"/>
      <c r="D178" s="1"/>
      <c r="E178" s="1"/>
      <c r="F178" s="1"/>
    </row>
    <row r="179" spans="1:6" ht="15.75" customHeight="1" x14ac:dyDescent="0.35">
      <c r="A179" s="1"/>
      <c r="B179" s="1"/>
      <c r="C179" s="1"/>
      <c r="D179" s="1"/>
      <c r="E179" s="1"/>
      <c r="F179" s="1"/>
    </row>
    <row r="180" spans="1:6" ht="15.75" customHeight="1" x14ac:dyDescent="0.35">
      <c r="A180" s="1"/>
      <c r="B180" s="1"/>
      <c r="C180" s="1"/>
      <c r="D180" s="1"/>
      <c r="E180" s="1"/>
      <c r="F180" s="1"/>
    </row>
    <row r="181" spans="1:6" ht="15.75" customHeight="1" x14ac:dyDescent="0.35">
      <c r="A181" s="1"/>
      <c r="B181" s="1"/>
      <c r="C181" s="1"/>
      <c r="D181" s="1"/>
      <c r="E181" s="1"/>
      <c r="F181" s="1"/>
    </row>
    <row r="182" spans="1:6" ht="15.75" customHeight="1" x14ac:dyDescent="0.35">
      <c r="A182" s="1"/>
      <c r="B182" s="1"/>
      <c r="C182" s="1"/>
      <c r="D182" s="1"/>
      <c r="E182" s="1"/>
      <c r="F182" s="1"/>
    </row>
    <row r="183" spans="1:6" ht="15.75" customHeight="1" x14ac:dyDescent="0.35">
      <c r="A183" s="1"/>
      <c r="B183" s="1"/>
      <c r="C183" s="1"/>
      <c r="D183" s="1"/>
      <c r="E183" s="1"/>
      <c r="F183" s="1"/>
    </row>
    <row r="184" spans="1:6" ht="15.75" customHeight="1" x14ac:dyDescent="0.35">
      <c r="A184" s="1"/>
      <c r="B184" s="1"/>
      <c r="C184" s="1"/>
      <c r="D184" s="1"/>
      <c r="E184" s="1"/>
      <c r="F184" s="1"/>
    </row>
    <row r="185" spans="1:6" ht="15.75" customHeight="1" x14ac:dyDescent="0.35">
      <c r="A185" s="1"/>
      <c r="B185" s="1"/>
      <c r="C185" s="1"/>
      <c r="D185" s="1"/>
      <c r="E185" s="1"/>
      <c r="F185" s="1"/>
    </row>
    <row r="186" spans="1:6" ht="15.75" customHeight="1" x14ac:dyDescent="0.35">
      <c r="A186" s="1"/>
      <c r="B186" s="1"/>
      <c r="C186" s="1"/>
      <c r="D186" s="1"/>
      <c r="E186" s="1"/>
      <c r="F186" s="1"/>
    </row>
    <row r="187" spans="1:6" ht="15.75" customHeight="1" x14ac:dyDescent="0.35">
      <c r="A187" s="1"/>
      <c r="B187" s="1"/>
      <c r="C187" s="1"/>
      <c r="D187" s="1"/>
      <c r="E187" s="1"/>
      <c r="F187" s="1"/>
    </row>
    <row r="188" spans="1:6" ht="15.75" customHeight="1" x14ac:dyDescent="0.35">
      <c r="A188" s="1"/>
      <c r="B188" s="1"/>
      <c r="C188" s="1"/>
      <c r="D188" s="1"/>
      <c r="E188" s="1"/>
      <c r="F188" s="1"/>
    </row>
    <row r="189" spans="1:6" ht="15.75" customHeight="1" x14ac:dyDescent="0.35">
      <c r="A189" s="1"/>
      <c r="B189" s="1"/>
      <c r="C189" s="1"/>
      <c r="D189" s="1"/>
      <c r="E189" s="1"/>
      <c r="F189" s="1"/>
    </row>
    <row r="190" spans="1:6" ht="15.75" customHeight="1" x14ac:dyDescent="0.35">
      <c r="A190" s="1"/>
      <c r="B190" s="1"/>
      <c r="C190" s="1"/>
      <c r="D190" s="1"/>
      <c r="E190" s="1"/>
      <c r="F190" s="1"/>
    </row>
    <row r="191" spans="1:6" ht="15.75" customHeight="1" x14ac:dyDescent="0.35">
      <c r="A191" s="1"/>
      <c r="B191" s="1"/>
      <c r="C191" s="1"/>
      <c r="D191" s="1"/>
      <c r="E191" s="1"/>
      <c r="F191" s="1"/>
    </row>
    <row r="192" spans="1:6" ht="15.75" customHeight="1" x14ac:dyDescent="0.35">
      <c r="A192" s="1"/>
      <c r="B192" s="1"/>
      <c r="C192" s="1"/>
      <c r="D192" s="1"/>
      <c r="E192" s="1"/>
      <c r="F192" s="1"/>
    </row>
    <row r="193" spans="1:6" ht="15.75" customHeight="1" x14ac:dyDescent="0.35">
      <c r="A193" s="1"/>
      <c r="B193" s="1"/>
      <c r="C193" s="1"/>
      <c r="D193" s="1"/>
      <c r="E193" s="1"/>
      <c r="F193" s="1"/>
    </row>
    <row r="194" spans="1:6" ht="15.75" customHeight="1" x14ac:dyDescent="0.35">
      <c r="A194" s="1"/>
      <c r="B194" s="1"/>
      <c r="C194" s="1"/>
      <c r="D194" s="1"/>
      <c r="E194" s="1"/>
      <c r="F194" s="1"/>
    </row>
    <row r="195" spans="1:6" ht="15.75" customHeight="1" x14ac:dyDescent="0.35">
      <c r="A195" s="1"/>
      <c r="B195" s="1"/>
      <c r="C195" s="1"/>
      <c r="D195" s="1"/>
      <c r="E195" s="1"/>
      <c r="F195" s="1"/>
    </row>
    <row r="196" spans="1:6" ht="15.75" customHeight="1" x14ac:dyDescent="0.35">
      <c r="A196" s="1"/>
      <c r="B196" s="1"/>
      <c r="C196" s="1"/>
      <c r="D196" s="1"/>
      <c r="E196" s="1"/>
      <c r="F196" s="1"/>
    </row>
    <row r="197" spans="1:6" ht="15.75" customHeight="1" x14ac:dyDescent="0.35">
      <c r="A197" s="1"/>
      <c r="B197" s="1"/>
      <c r="C197" s="1"/>
      <c r="D197" s="1"/>
      <c r="E197" s="1"/>
      <c r="F197" s="1"/>
    </row>
    <row r="198" spans="1:6" ht="15.75" customHeight="1" x14ac:dyDescent="0.35">
      <c r="A198" s="1"/>
      <c r="B198" s="1"/>
      <c r="C198" s="1"/>
      <c r="D198" s="1"/>
      <c r="E198" s="1"/>
      <c r="F198" s="1"/>
    </row>
    <row r="199" spans="1:6" ht="15.75" customHeight="1" x14ac:dyDescent="0.35">
      <c r="A199" s="1"/>
      <c r="B199" s="1"/>
      <c r="C199" s="1"/>
      <c r="D199" s="1"/>
      <c r="E199" s="1"/>
      <c r="F199" s="1"/>
    </row>
    <row r="200" spans="1:6" ht="15.75" customHeight="1" x14ac:dyDescent="0.35">
      <c r="A200" s="1"/>
      <c r="B200" s="1"/>
      <c r="C200" s="1"/>
      <c r="D200" s="1"/>
      <c r="E200" s="1"/>
      <c r="F200" s="1"/>
    </row>
    <row r="201" spans="1:6" ht="15.75" customHeight="1" x14ac:dyDescent="0.35">
      <c r="A201" s="1"/>
      <c r="B201" s="1"/>
      <c r="C201" s="1"/>
      <c r="D201" s="1"/>
      <c r="E201" s="1"/>
      <c r="F201" s="1"/>
    </row>
    <row r="202" spans="1:6" ht="15.75" customHeight="1" x14ac:dyDescent="0.35">
      <c r="A202" s="1"/>
      <c r="B202" s="1"/>
      <c r="C202" s="1"/>
      <c r="D202" s="1"/>
      <c r="E202" s="1"/>
      <c r="F202" s="1"/>
    </row>
    <row r="203" spans="1:6" ht="15.75" customHeight="1" x14ac:dyDescent="0.35">
      <c r="A203" s="1"/>
      <c r="B203" s="1"/>
      <c r="C203" s="1"/>
      <c r="D203" s="1"/>
      <c r="E203" s="1"/>
      <c r="F203" s="1"/>
    </row>
    <row r="204" spans="1:6" ht="15.75" customHeight="1" x14ac:dyDescent="0.35">
      <c r="A204" s="1"/>
      <c r="B204" s="1"/>
      <c r="C204" s="1"/>
      <c r="D204" s="1"/>
      <c r="E204" s="1"/>
      <c r="F204" s="1"/>
    </row>
    <row r="205" spans="1:6" ht="15.75" customHeight="1" x14ac:dyDescent="0.35">
      <c r="A205" s="1"/>
      <c r="B205" s="1"/>
      <c r="C205" s="1"/>
      <c r="D205" s="1"/>
      <c r="E205" s="1"/>
      <c r="F205" s="1"/>
    </row>
    <row r="206" spans="1:6" ht="15.75" customHeight="1" x14ac:dyDescent="0.35">
      <c r="A206" s="1"/>
      <c r="B206" s="1"/>
      <c r="C206" s="1"/>
      <c r="D206" s="1"/>
      <c r="E206" s="1"/>
      <c r="F206" s="1"/>
    </row>
    <row r="207" spans="1:6" ht="15.75" customHeight="1" x14ac:dyDescent="0.35">
      <c r="A207" s="1"/>
      <c r="B207" s="1"/>
      <c r="C207" s="1"/>
      <c r="D207" s="1"/>
      <c r="E207" s="1"/>
      <c r="F207" s="1"/>
    </row>
    <row r="208" spans="1:6" ht="15.75" customHeight="1" x14ac:dyDescent="0.35">
      <c r="A208" s="1"/>
      <c r="B208" s="1"/>
      <c r="C208" s="1"/>
      <c r="D208" s="1"/>
      <c r="E208" s="1"/>
      <c r="F208" s="1"/>
    </row>
    <row r="209" spans="1:6" ht="15.75" customHeight="1" x14ac:dyDescent="0.35">
      <c r="A209" s="1"/>
      <c r="B209" s="1"/>
      <c r="C209" s="1"/>
      <c r="D209" s="1"/>
      <c r="E209" s="1"/>
      <c r="F209" s="1"/>
    </row>
    <row r="210" spans="1:6" ht="15.75" customHeight="1" x14ac:dyDescent="0.35">
      <c r="A210" s="1"/>
      <c r="B210" s="1"/>
      <c r="C210" s="1"/>
      <c r="D210" s="1"/>
      <c r="E210" s="1"/>
      <c r="F210" s="1"/>
    </row>
    <row r="211" spans="1:6" ht="15.75" customHeight="1" x14ac:dyDescent="0.35">
      <c r="A211" s="1"/>
      <c r="B211" s="1"/>
      <c r="C211" s="1"/>
      <c r="D211" s="1"/>
      <c r="E211" s="1"/>
      <c r="F211" s="1"/>
    </row>
    <row r="212" spans="1:6" ht="15.75" customHeight="1" x14ac:dyDescent="0.35">
      <c r="A212" s="1"/>
      <c r="B212" s="1"/>
      <c r="C212" s="1"/>
      <c r="D212" s="1"/>
      <c r="E212" s="1"/>
      <c r="F212" s="1"/>
    </row>
    <row r="213" spans="1:6" ht="15.75" customHeight="1" x14ac:dyDescent="0.35">
      <c r="A213" s="1"/>
      <c r="B213" s="1"/>
      <c r="C213" s="1"/>
      <c r="D213" s="1"/>
      <c r="E213" s="1"/>
      <c r="F213" s="1"/>
    </row>
    <row r="214" spans="1:6" ht="15.75" customHeight="1" x14ac:dyDescent="0.35">
      <c r="A214" s="1"/>
      <c r="B214" s="1"/>
      <c r="C214" s="1"/>
      <c r="D214" s="1"/>
      <c r="E214" s="1"/>
      <c r="F214" s="1"/>
    </row>
    <row r="215" spans="1:6" ht="15.75" customHeight="1" x14ac:dyDescent="0.35">
      <c r="A215" s="1"/>
      <c r="B215" s="1"/>
      <c r="C215" s="1"/>
      <c r="D215" s="1"/>
      <c r="E215" s="1"/>
      <c r="F215" s="1"/>
    </row>
    <row r="216" spans="1:6" ht="15.75" customHeight="1" x14ac:dyDescent="0.35">
      <c r="A216" s="1"/>
      <c r="B216" s="1"/>
      <c r="C216" s="1"/>
      <c r="D216" s="1"/>
      <c r="E216" s="1"/>
      <c r="F216" s="1"/>
    </row>
    <row r="217" spans="1:6" ht="15.75" customHeight="1" x14ac:dyDescent="0.35">
      <c r="A217" s="1"/>
      <c r="B217" s="1"/>
      <c r="C217" s="1"/>
      <c r="D217" s="1"/>
      <c r="E217" s="1"/>
      <c r="F217" s="1"/>
    </row>
    <row r="218" spans="1:6" ht="15.75" customHeight="1" x14ac:dyDescent="0.35">
      <c r="A218" s="1"/>
      <c r="B218" s="1"/>
      <c r="C218" s="1"/>
      <c r="D218" s="1"/>
      <c r="E218" s="1"/>
      <c r="F218" s="1"/>
    </row>
    <row r="219" spans="1:6" ht="15.75" customHeight="1" x14ac:dyDescent="0.35">
      <c r="A219" s="1"/>
      <c r="B219" s="1"/>
      <c r="C219" s="1"/>
      <c r="D219" s="1"/>
      <c r="E219" s="1"/>
      <c r="F219" s="1"/>
    </row>
    <row r="220" spans="1:6" ht="15.75" customHeight="1" x14ac:dyDescent="0.35">
      <c r="A220" s="1"/>
      <c r="B220" s="1"/>
      <c r="C220" s="1"/>
      <c r="D220" s="1"/>
      <c r="E220" s="1"/>
      <c r="F220" s="1"/>
    </row>
    <row r="221" spans="1:6" ht="15.75" customHeight="1" x14ac:dyDescent="0.35">
      <c r="A221" s="1"/>
      <c r="B221" s="1"/>
      <c r="C221" s="1"/>
      <c r="D221" s="1"/>
      <c r="E221" s="1"/>
      <c r="F221" s="1"/>
    </row>
    <row r="222" spans="1:6" ht="15.75" customHeight="1" x14ac:dyDescent="0.35">
      <c r="A222" s="1"/>
      <c r="B222" s="1"/>
      <c r="C222" s="1"/>
      <c r="D222" s="1"/>
      <c r="E222" s="1"/>
      <c r="F222" s="1"/>
    </row>
    <row r="223" spans="1:6" ht="15.75" customHeight="1" x14ac:dyDescent="0.35">
      <c r="A223" s="1"/>
      <c r="B223" s="1"/>
      <c r="C223" s="1"/>
      <c r="D223" s="1"/>
      <c r="E223" s="1"/>
      <c r="F223" s="1"/>
    </row>
    <row r="224" spans="1:6" ht="15.75" customHeight="1" x14ac:dyDescent="0.35">
      <c r="A224" s="1"/>
      <c r="B224" s="1"/>
      <c r="C224" s="1"/>
      <c r="D224" s="1"/>
      <c r="E224" s="1"/>
      <c r="F224" s="1"/>
    </row>
    <row r="225" spans="1:6" ht="15.75" customHeight="1" x14ac:dyDescent="0.35">
      <c r="A225" s="1"/>
      <c r="B225" s="1"/>
      <c r="C225" s="1"/>
      <c r="D225" s="1"/>
      <c r="E225" s="1"/>
      <c r="F225" s="1"/>
    </row>
    <row r="226" spans="1:6" ht="15.75" customHeight="1" x14ac:dyDescent="0.35">
      <c r="A226" s="1"/>
      <c r="B226" s="1"/>
      <c r="C226" s="1"/>
      <c r="D226" s="1"/>
      <c r="E226" s="1"/>
      <c r="F226" s="1"/>
    </row>
    <row r="227" spans="1:6" ht="15.75" customHeight="1" x14ac:dyDescent="0.35">
      <c r="A227" s="1"/>
      <c r="B227" s="1"/>
      <c r="C227" s="1"/>
      <c r="D227" s="1"/>
      <c r="E227" s="1"/>
      <c r="F227" s="1"/>
    </row>
    <row r="228" spans="1:6" ht="15.75" customHeight="1" x14ac:dyDescent="0.35">
      <c r="A228" s="1"/>
      <c r="B228" s="1"/>
      <c r="C228" s="1"/>
      <c r="D228" s="1"/>
      <c r="E228" s="1"/>
      <c r="F228" s="1"/>
    </row>
    <row r="229" spans="1:6" ht="15.75" customHeight="1" x14ac:dyDescent="0.35">
      <c r="A229" s="1"/>
      <c r="B229" s="1"/>
      <c r="C229" s="1"/>
      <c r="D229" s="1"/>
      <c r="E229" s="1"/>
      <c r="F229" s="1"/>
    </row>
    <row r="230" spans="1:6" ht="15.75" customHeight="1" x14ac:dyDescent="0.35">
      <c r="A230" s="1"/>
      <c r="B230" s="1"/>
      <c r="C230" s="1"/>
      <c r="D230" s="1"/>
      <c r="E230" s="1"/>
      <c r="F230" s="1"/>
    </row>
    <row r="231" spans="1:6" ht="15.75" customHeight="1" x14ac:dyDescent="0.35">
      <c r="A231" s="1"/>
      <c r="B231" s="1"/>
      <c r="C231" s="1"/>
      <c r="D231" s="1"/>
      <c r="E231" s="1"/>
      <c r="F231" s="1"/>
    </row>
    <row r="232" spans="1:6" ht="15.75" customHeight="1" x14ac:dyDescent="0.35">
      <c r="A232" s="1"/>
      <c r="B232" s="1"/>
      <c r="C232" s="1"/>
      <c r="D232" s="1"/>
      <c r="E232" s="1"/>
      <c r="F232" s="1"/>
    </row>
    <row r="233" spans="1:6" ht="15.75" customHeight="1" x14ac:dyDescent="0.35">
      <c r="A233" s="1"/>
      <c r="B233" s="1"/>
      <c r="C233" s="1"/>
      <c r="D233" s="1"/>
      <c r="E233" s="1"/>
      <c r="F233" s="1"/>
    </row>
    <row r="234" spans="1:6" ht="15.75" customHeight="1" x14ac:dyDescent="0.35">
      <c r="A234" s="1"/>
      <c r="B234" s="1"/>
      <c r="C234" s="1"/>
      <c r="D234" s="1"/>
      <c r="E234" s="1"/>
      <c r="F234" s="1"/>
    </row>
    <row r="235" spans="1:6" ht="15.75" customHeight="1" x14ac:dyDescent="0.35">
      <c r="A235" s="1"/>
      <c r="B235" s="1"/>
      <c r="C235" s="1"/>
      <c r="D235" s="1"/>
      <c r="E235" s="1"/>
      <c r="F235" s="1"/>
    </row>
    <row r="236" spans="1:6" ht="15.75" customHeight="1" x14ac:dyDescent="0.35">
      <c r="A236" s="1"/>
      <c r="B236" s="1"/>
      <c r="C236" s="1"/>
      <c r="D236" s="1"/>
      <c r="E236" s="1"/>
      <c r="F236" s="1"/>
    </row>
    <row r="237" spans="1:6" ht="15.75" customHeight="1" x14ac:dyDescent="0.35">
      <c r="A237" s="1"/>
      <c r="B237" s="1"/>
      <c r="C237" s="1"/>
      <c r="D237" s="1"/>
      <c r="E237" s="1"/>
      <c r="F237" s="1"/>
    </row>
    <row r="238" spans="1:6" ht="15.75" customHeight="1" x14ac:dyDescent="0.35">
      <c r="A238" s="1"/>
      <c r="B238" s="1"/>
      <c r="C238" s="1"/>
      <c r="D238" s="1"/>
      <c r="E238" s="1"/>
      <c r="F238" s="1"/>
    </row>
    <row r="239" spans="1:6" ht="15.75" customHeight="1" x14ac:dyDescent="0.35">
      <c r="A239" s="1"/>
      <c r="B239" s="1"/>
      <c r="C239" s="1"/>
      <c r="D239" s="1"/>
      <c r="E239" s="1"/>
      <c r="F239" s="1"/>
    </row>
    <row r="240" spans="1:6" ht="15.75" customHeight="1" x14ac:dyDescent="0.35">
      <c r="A240" s="1"/>
      <c r="B240" s="1"/>
      <c r="C240" s="1"/>
      <c r="D240" s="1"/>
      <c r="E240" s="1"/>
      <c r="F240" s="1"/>
    </row>
    <row r="241" spans="1:6" ht="15.75" customHeight="1" x14ac:dyDescent="0.35">
      <c r="A241" s="1"/>
      <c r="B241" s="1"/>
      <c r="C241" s="1"/>
      <c r="D241" s="1"/>
      <c r="E241" s="1"/>
      <c r="F241" s="1"/>
    </row>
    <row r="242" spans="1:6" ht="15.75" customHeight="1" x14ac:dyDescent="0.35">
      <c r="A242" s="1"/>
      <c r="B242" s="1"/>
      <c r="C242" s="1"/>
      <c r="D242" s="1"/>
      <c r="E242" s="1"/>
      <c r="F242" s="1"/>
    </row>
    <row r="243" spans="1:6" ht="15.75" customHeight="1" x14ac:dyDescent="0.35">
      <c r="A243" s="1"/>
      <c r="B243" s="1"/>
      <c r="C243" s="1"/>
      <c r="D243" s="1"/>
      <c r="E243" s="1"/>
      <c r="F243" s="1"/>
    </row>
    <row r="244" spans="1:6" ht="15.75" customHeight="1" x14ac:dyDescent="0.35">
      <c r="A244" s="1"/>
      <c r="B244" s="1"/>
      <c r="C244" s="1"/>
      <c r="D244" s="1"/>
      <c r="E244" s="1"/>
      <c r="F244" s="1"/>
    </row>
    <row r="245" spans="1:6" ht="15.75" customHeight="1" x14ac:dyDescent="0.35">
      <c r="A245" s="1"/>
      <c r="B245" s="1"/>
      <c r="C245" s="1"/>
      <c r="D245" s="1"/>
      <c r="E245" s="1"/>
      <c r="F245" s="1"/>
    </row>
    <row r="246" spans="1:6" ht="15.75" customHeight="1" x14ac:dyDescent="0.35">
      <c r="A246" s="1"/>
      <c r="B246" s="1"/>
      <c r="C246" s="1"/>
      <c r="D246" s="1"/>
      <c r="E246" s="1"/>
      <c r="F246" s="1"/>
    </row>
    <row r="247" spans="1:6" ht="15.75" customHeight="1" x14ac:dyDescent="0.35">
      <c r="A247" s="1"/>
      <c r="B247" s="1"/>
      <c r="C247" s="1"/>
      <c r="D247" s="1"/>
      <c r="E247" s="1"/>
      <c r="F247" s="1"/>
    </row>
    <row r="248" spans="1:6" ht="15.75" customHeight="1" x14ac:dyDescent="0.35">
      <c r="A248" s="1"/>
      <c r="B248" s="1"/>
      <c r="C248" s="1"/>
      <c r="D248" s="1"/>
      <c r="E248" s="1"/>
      <c r="F248" s="1"/>
    </row>
    <row r="249" spans="1:6" ht="15.75" customHeight="1" x14ac:dyDescent="0.35">
      <c r="A249" s="1"/>
      <c r="B249" s="1"/>
      <c r="C249" s="1"/>
      <c r="D249" s="1"/>
      <c r="E249" s="1"/>
      <c r="F249" s="1"/>
    </row>
    <row r="250" spans="1:6" ht="15.75" customHeight="1" x14ac:dyDescent="0.35">
      <c r="A250" s="1"/>
      <c r="B250" s="1"/>
      <c r="C250" s="1"/>
      <c r="D250" s="1"/>
      <c r="E250" s="1"/>
      <c r="F250" s="1"/>
    </row>
    <row r="251" spans="1:6" ht="15.75" customHeight="1" x14ac:dyDescent="0.35">
      <c r="A251" s="1"/>
      <c r="B251" s="1"/>
      <c r="C251" s="1"/>
      <c r="D251" s="1"/>
      <c r="E251" s="1"/>
      <c r="F251" s="1"/>
    </row>
    <row r="252" spans="1:6" ht="15.75" customHeight="1" x14ac:dyDescent="0.35">
      <c r="A252" s="1"/>
      <c r="B252" s="1"/>
      <c r="C252" s="1"/>
      <c r="D252" s="1"/>
      <c r="E252" s="1"/>
      <c r="F252" s="1"/>
    </row>
    <row r="253" spans="1:6" ht="15.75" customHeight="1" x14ac:dyDescent="0.35">
      <c r="A253" s="1"/>
      <c r="B253" s="1"/>
      <c r="C253" s="1"/>
      <c r="D253" s="1"/>
      <c r="E253" s="1"/>
      <c r="F253" s="1"/>
    </row>
    <row r="254" spans="1:6" ht="15.75" customHeight="1" x14ac:dyDescent="0.35">
      <c r="A254" s="1"/>
      <c r="B254" s="1"/>
      <c r="C254" s="1"/>
      <c r="D254" s="1"/>
      <c r="E254" s="1"/>
      <c r="F254" s="1"/>
    </row>
    <row r="255" spans="1:6" ht="15.75" customHeight="1" x14ac:dyDescent="0.35">
      <c r="A255" s="1"/>
      <c r="B255" s="1"/>
      <c r="C255" s="1"/>
      <c r="D255" s="1"/>
      <c r="E255" s="1"/>
      <c r="F255" s="1"/>
    </row>
    <row r="256" spans="1:6" ht="15.75" customHeight="1" x14ac:dyDescent="0.35">
      <c r="A256" s="1"/>
      <c r="B256" s="1"/>
      <c r="C256" s="1"/>
      <c r="D256" s="1"/>
      <c r="E256" s="1"/>
      <c r="F256" s="1"/>
    </row>
    <row r="257" spans="1:6" ht="15.75" customHeight="1" x14ac:dyDescent="0.35">
      <c r="A257" s="1"/>
      <c r="B257" s="1"/>
      <c r="C257" s="1"/>
      <c r="D257" s="1"/>
      <c r="E257" s="1"/>
      <c r="F257" s="1"/>
    </row>
    <row r="258" spans="1:6" ht="15.75" customHeight="1" x14ac:dyDescent="0.35">
      <c r="A258" s="1"/>
      <c r="B258" s="1"/>
      <c r="C258" s="1"/>
      <c r="D258" s="1"/>
      <c r="E258" s="1"/>
      <c r="F258" s="1"/>
    </row>
    <row r="259" spans="1:6" ht="15.75" customHeight="1" x14ac:dyDescent="0.35">
      <c r="A259" s="1"/>
      <c r="B259" s="1"/>
      <c r="C259" s="1"/>
      <c r="D259" s="1"/>
      <c r="E259" s="1"/>
      <c r="F259" s="1"/>
    </row>
    <row r="260" spans="1:6" ht="15.75" customHeight="1" x14ac:dyDescent="0.35">
      <c r="A260" s="1"/>
      <c r="B260" s="1"/>
      <c r="C260" s="1"/>
      <c r="D260" s="1"/>
      <c r="E260" s="1"/>
      <c r="F260" s="1"/>
    </row>
    <row r="261" spans="1:6" ht="15.75" customHeight="1" x14ac:dyDescent="0.35">
      <c r="A261" s="1"/>
      <c r="B261" s="1"/>
      <c r="C261" s="1"/>
      <c r="D261" s="1"/>
      <c r="E261" s="1"/>
      <c r="F261" s="1"/>
    </row>
    <row r="262" spans="1:6" ht="15.75" customHeight="1" x14ac:dyDescent="0.35">
      <c r="A262" s="1"/>
      <c r="B262" s="1"/>
      <c r="C262" s="1"/>
      <c r="D262" s="1"/>
      <c r="E262" s="1"/>
      <c r="F262" s="1"/>
    </row>
    <row r="263" spans="1:6" ht="15.75" customHeight="1" x14ac:dyDescent="0.35">
      <c r="A263" s="1"/>
      <c r="B263" s="1"/>
      <c r="C263" s="1"/>
      <c r="D263" s="1"/>
      <c r="E263" s="1"/>
      <c r="F263" s="1"/>
    </row>
    <row r="264" spans="1:6" ht="15.75" customHeight="1" x14ac:dyDescent="0.35">
      <c r="A264" s="1"/>
      <c r="B264" s="1"/>
      <c r="C264" s="1"/>
      <c r="D264" s="1"/>
      <c r="E264" s="1"/>
      <c r="F264" s="1"/>
    </row>
    <row r="265" spans="1:6" ht="15.75" customHeight="1" x14ac:dyDescent="0.35">
      <c r="A265" s="1"/>
      <c r="B265" s="1"/>
      <c r="C265" s="1"/>
      <c r="D265" s="1"/>
      <c r="E265" s="1"/>
      <c r="F265" s="1"/>
    </row>
    <row r="266" spans="1:6" ht="15.75" customHeight="1" x14ac:dyDescent="0.35">
      <c r="A266" s="1"/>
      <c r="B266" s="1"/>
      <c r="C266" s="1"/>
      <c r="D266" s="1"/>
      <c r="E266" s="1"/>
      <c r="F266" s="1"/>
    </row>
    <row r="267" spans="1:6" ht="15.75" customHeight="1" x14ac:dyDescent="0.35">
      <c r="A267" s="1"/>
      <c r="B267" s="1"/>
      <c r="C267" s="1"/>
      <c r="D267" s="1"/>
      <c r="E267" s="1"/>
      <c r="F267" s="1"/>
    </row>
    <row r="268" spans="1:6" ht="15.75" customHeight="1" x14ac:dyDescent="0.35">
      <c r="A268" s="1"/>
      <c r="B268" s="1"/>
      <c r="C268" s="1"/>
      <c r="D268" s="1"/>
      <c r="E268" s="1"/>
      <c r="F268" s="1"/>
    </row>
    <row r="269" spans="1:6" ht="15.75" customHeight="1" x14ac:dyDescent="0.35">
      <c r="A269" s="1"/>
      <c r="B269" s="1"/>
      <c r="C269" s="1"/>
      <c r="D269" s="1"/>
      <c r="E269" s="1"/>
      <c r="F269" s="1"/>
    </row>
    <row r="270" spans="1:6" ht="15.75" customHeight="1" x14ac:dyDescent="0.35">
      <c r="A270" s="1"/>
      <c r="B270" s="1"/>
      <c r="C270" s="1"/>
      <c r="D270" s="1"/>
      <c r="E270" s="1"/>
      <c r="F270" s="1"/>
    </row>
    <row r="271" spans="1:6" ht="15.75" customHeight="1" x14ac:dyDescent="0.35">
      <c r="A271" s="1"/>
      <c r="B271" s="1"/>
      <c r="C271" s="1"/>
      <c r="D271" s="1"/>
      <c r="E271" s="1"/>
      <c r="F271" s="1"/>
    </row>
    <row r="272" spans="1:6" ht="15.75" customHeight="1" x14ac:dyDescent="0.35">
      <c r="A272" s="1"/>
      <c r="B272" s="1"/>
      <c r="C272" s="1"/>
      <c r="D272" s="1"/>
      <c r="E272" s="1"/>
      <c r="F272" s="1"/>
    </row>
    <row r="273" spans="1:6" ht="15.75" customHeight="1" x14ac:dyDescent="0.35">
      <c r="A273" s="1"/>
      <c r="B273" s="1"/>
      <c r="C273" s="1"/>
      <c r="D273" s="1"/>
      <c r="E273" s="1"/>
      <c r="F273" s="1"/>
    </row>
    <row r="274" spans="1:6" ht="15.75" customHeight="1" x14ac:dyDescent="0.35">
      <c r="A274" s="1"/>
      <c r="B274" s="1"/>
      <c r="C274" s="1"/>
      <c r="D274" s="1"/>
      <c r="E274" s="1"/>
      <c r="F274" s="1"/>
    </row>
    <row r="275" spans="1:6" ht="15.75" customHeight="1" x14ac:dyDescent="0.35">
      <c r="A275" s="1"/>
      <c r="B275" s="1"/>
      <c r="C275" s="1"/>
      <c r="D275" s="1"/>
      <c r="E275" s="1"/>
      <c r="F275" s="1"/>
    </row>
    <row r="276" spans="1:6" ht="15.75" customHeight="1" x14ac:dyDescent="0.35">
      <c r="A276" s="1"/>
      <c r="B276" s="1"/>
      <c r="C276" s="1"/>
      <c r="D276" s="1"/>
      <c r="E276" s="1"/>
      <c r="F276" s="1"/>
    </row>
    <row r="277" spans="1:6" ht="15.75" customHeight="1" x14ac:dyDescent="0.35">
      <c r="A277" s="1"/>
      <c r="B277" s="1"/>
      <c r="C277" s="1"/>
      <c r="D277" s="1"/>
      <c r="E277" s="1"/>
      <c r="F277" s="1"/>
    </row>
    <row r="278" spans="1:6" ht="15.75" customHeight="1" x14ac:dyDescent="0.35">
      <c r="A278" s="1"/>
      <c r="B278" s="1"/>
      <c r="C278" s="1"/>
      <c r="D278" s="1"/>
      <c r="E278" s="1"/>
      <c r="F278" s="1"/>
    </row>
    <row r="279" spans="1:6" ht="15.75" customHeight="1" x14ac:dyDescent="0.35">
      <c r="A279" s="1"/>
      <c r="B279" s="1"/>
      <c r="C279" s="1"/>
      <c r="D279" s="1"/>
      <c r="E279" s="1"/>
      <c r="F279" s="1"/>
    </row>
    <row r="280" spans="1:6" ht="15.75" customHeight="1" x14ac:dyDescent="0.35">
      <c r="A280" s="1"/>
      <c r="B280" s="1"/>
      <c r="C280" s="1"/>
      <c r="D280" s="1"/>
      <c r="E280" s="1"/>
      <c r="F280" s="1"/>
    </row>
    <row r="281" spans="1:6" ht="15.75" customHeight="1" x14ac:dyDescent="0.35">
      <c r="A281" s="1"/>
      <c r="B281" s="1"/>
      <c r="C281" s="1"/>
      <c r="D281" s="1"/>
      <c r="E281" s="1"/>
      <c r="F281" s="1"/>
    </row>
    <row r="282" spans="1:6" ht="15.75" customHeight="1" x14ac:dyDescent="0.35">
      <c r="A282" s="1"/>
      <c r="B282" s="1"/>
      <c r="C282" s="1"/>
      <c r="D282" s="1"/>
      <c r="E282" s="1"/>
      <c r="F282" s="1"/>
    </row>
    <row r="283" spans="1:6" ht="15.75" customHeight="1" x14ac:dyDescent="0.35">
      <c r="A283" s="1"/>
      <c r="B283" s="1"/>
      <c r="C283" s="1"/>
      <c r="D283" s="1"/>
      <c r="E283" s="1"/>
      <c r="F283" s="1"/>
    </row>
    <row r="284" spans="1:6" ht="15.75" customHeight="1" x14ac:dyDescent="0.35">
      <c r="A284" s="1"/>
      <c r="B284" s="1"/>
      <c r="C284" s="1"/>
      <c r="D284" s="1"/>
      <c r="E284" s="1"/>
      <c r="F284" s="1"/>
    </row>
    <row r="285" spans="1:6" ht="15.75" customHeight="1" x14ac:dyDescent="0.35">
      <c r="A285" s="1"/>
      <c r="B285" s="1"/>
      <c r="C285" s="1"/>
      <c r="D285" s="1"/>
      <c r="E285" s="1"/>
      <c r="F285" s="1"/>
    </row>
    <row r="286" spans="1:6" ht="15.75" customHeight="1" x14ac:dyDescent="0.35">
      <c r="A286" s="1"/>
      <c r="B286" s="1"/>
      <c r="C286" s="1"/>
      <c r="D286" s="1"/>
      <c r="E286" s="1"/>
      <c r="F286" s="1"/>
    </row>
    <row r="287" spans="1:6" ht="15.75" customHeight="1" x14ac:dyDescent="0.35">
      <c r="A287" s="1"/>
      <c r="B287" s="1"/>
      <c r="C287" s="1"/>
      <c r="D287" s="1"/>
      <c r="E287" s="1"/>
      <c r="F287" s="1"/>
    </row>
    <row r="288" spans="1:6" ht="15.75" customHeight="1" x14ac:dyDescent="0.35">
      <c r="A288" s="1"/>
      <c r="B288" s="1"/>
      <c r="C288" s="1"/>
      <c r="D288" s="1"/>
      <c r="E288" s="1"/>
      <c r="F288" s="1"/>
    </row>
    <row r="289" spans="1:6" ht="15.75" customHeight="1" x14ac:dyDescent="0.35">
      <c r="A289" s="1"/>
      <c r="B289" s="1"/>
      <c r="C289" s="1"/>
      <c r="D289" s="1"/>
      <c r="E289" s="1"/>
      <c r="F289" s="1"/>
    </row>
    <row r="290" spans="1:6" ht="15.75" customHeight="1" x14ac:dyDescent="0.35">
      <c r="A290" s="1"/>
      <c r="B290" s="1"/>
      <c r="C290" s="1"/>
      <c r="D290" s="1"/>
      <c r="E290" s="1"/>
      <c r="F290" s="1"/>
    </row>
    <row r="291" spans="1:6" ht="15.75" customHeight="1" x14ac:dyDescent="0.35">
      <c r="A291" s="1"/>
      <c r="B291" s="1"/>
      <c r="C291" s="1"/>
      <c r="D291" s="1"/>
      <c r="E291" s="1"/>
      <c r="F291" s="1"/>
    </row>
    <row r="292" spans="1:6" ht="15.75" customHeight="1" x14ac:dyDescent="0.35">
      <c r="A292" s="1"/>
      <c r="B292" s="1"/>
      <c r="C292" s="1"/>
      <c r="D292" s="1"/>
      <c r="E292" s="1"/>
      <c r="F292" s="1"/>
    </row>
    <row r="293" spans="1:6" ht="15.75" customHeight="1" x14ac:dyDescent="0.35">
      <c r="A293" s="1"/>
      <c r="B293" s="1"/>
      <c r="C293" s="1"/>
      <c r="D293" s="1"/>
      <c r="E293" s="1"/>
      <c r="F293" s="1"/>
    </row>
    <row r="294" spans="1:6" ht="15.75" customHeight="1" x14ac:dyDescent="0.35">
      <c r="A294" s="1"/>
      <c r="B294" s="1"/>
      <c r="C294" s="1"/>
      <c r="D294" s="1"/>
      <c r="E294" s="1"/>
      <c r="F294" s="1"/>
    </row>
    <row r="295" spans="1:6" ht="15.75" customHeight="1" x14ac:dyDescent="0.35">
      <c r="A295" s="1"/>
      <c r="B295" s="1"/>
      <c r="C295" s="1"/>
      <c r="D295" s="1"/>
      <c r="E295" s="1"/>
      <c r="F295" s="1"/>
    </row>
    <row r="296" spans="1:6" ht="15.75" customHeight="1" x14ac:dyDescent="0.35">
      <c r="A296" s="1"/>
      <c r="B296" s="1"/>
      <c r="C296" s="1"/>
      <c r="D296" s="1"/>
      <c r="E296" s="1"/>
      <c r="F296" s="1"/>
    </row>
    <row r="297" spans="1:6" ht="15.75" customHeight="1" x14ac:dyDescent="0.35">
      <c r="A297" s="1"/>
      <c r="B297" s="1"/>
      <c r="C297" s="1"/>
      <c r="D297" s="1"/>
      <c r="E297" s="1"/>
      <c r="F297" s="1"/>
    </row>
    <row r="298" spans="1:6" ht="15.75" customHeight="1" x14ac:dyDescent="0.35">
      <c r="A298" s="1"/>
      <c r="B298" s="1"/>
      <c r="C298" s="1"/>
      <c r="D298" s="1"/>
      <c r="E298" s="1"/>
      <c r="F298" s="1"/>
    </row>
    <row r="299" spans="1:6" ht="15.75" customHeight="1" x14ac:dyDescent="0.35">
      <c r="A299" s="1"/>
      <c r="B299" s="1"/>
      <c r="C299" s="1"/>
      <c r="D299" s="1"/>
      <c r="E299" s="1"/>
      <c r="F299" s="1"/>
    </row>
    <row r="300" spans="1:6" ht="15.75" customHeight="1" x14ac:dyDescent="0.35">
      <c r="A300" s="1"/>
      <c r="B300" s="1"/>
      <c r="C300" s="1"/>
      <c r="D300" s="1"/>
      <c r="E300" s="1"/>
      <c r="F300" s="1"/>
    </row>
    <row r="301" spans="1:6" ht="15.75" customHeight="1" x14ac:dyDescent="0.35">
      <c r="A301" s="1"/>
      <c r="B301" s="1"/>
      <c r="C301" s="1"/>
      <c r="D301" s="1"/>
      <c r="E301" s="1"/>
      <c r="F301" s="1"/>
    </row>
    <row r="302" spans="1:6" ht="15.75" customHeight="1" x14ac:dyDescent="0.35">
      <c r="A302" s="1"/>
      <c r="B302" s="1"/>
      <c r="C302" s="1"/>
      <c r="D302" s="1"/>
      <c r="E302" s="1"/>
      <c r="F302" s="1"/>
    </row>
    <row r="303" spans="1:6" ht="15.75" customHeight="1" x14ac:dyDescent="0.35">
      <c r="A303" s="1"/>
      <c r="B303" s="1"/>
      <c r="C303" s="1"/>
      <c r="D303" s="1"/>
      <c r="E303" s="1"/>
      <c r="F303" s="1"/>
    </row>
    <row r="304" spans="1:6" ht="15.75" customHeight="1" x14ac:dyDescent="0.35">
      <c r="A304" s="1"/>
      <c r="B304" s="1"/>
      <c r="C304" s="1"/>
      <c r="D304" s="1"/>
      <c r="E304" s="1"/>
      <c r="F304" s="1"/>
    </row>
    <row r="305" spans="1:6" ht="15.75" customHeight="1" x14ac:dyDescent="0.35">
      <c r="A305" s="1"/>
      <c r="B305" s="1"/>
      <c r="C305" s="1"/>
      <c r="D305" s="1"/>
      <c r="E305" s="1"/>
      <c r="F305" s="1"/>
    </row>
    <row r="306" spans="1:6" ht="15.75" customHeight="1" x14ac:dyDescent="0.35">
      <c r="A306" s="1"/>
      <c r="B306" s="1"/>
      <c r="C306" s="1"/>
      <c r="D306" s="1"/>
      <c r="E306" s="1"/>
      <c r="F306" s="1"/>
    </row>
    <row r="307" spans="1:6" ht="15.75" customHeight="1" x14ac:dyDescent="0.35">
      <c r="A307" s="1"/>
      <c r="B307" s="1"/>
      <c r="C307" s="1"/>
      <c r="D307" s="1"/>
      <c r="E307" s="1"/>
      <c r="F307" s="1"/>
    </row>
    <row r="308" spans="1:6" ht="15.75" customHeight="1" x14ac:dyDescent="0.35">
      <c r="A308" s="1"/>
      <c r="B308" s="1"/>
      <c r="C308" s="1"/>
      <c r="D308" s="1"/>
      <c r="E308" s="1"/>
      <c r="F308" s="1"/>
    </row>
    <row r="309" spans="1:6" ht="15.75" customHeight="1" x14ac:dyDescent="0.35">
      <c r="A309" s="1"/>
      <c r="B309" s="1"/>
      <c r="C309" s="1"/>
      <c r="D309" s="1"/>
      <c r="E309" s="1"/>
      <c r="F309" s="1"/>
    </row>
    <row r="310" spans="1:6" ht="15.75" customHeight="1" x14ac:dyDescent="0.35">
      <c r="A310" s="1"/>
      <c r="B310" s="1"/>
      <c r="C310" s="1"/>
      <c r="D310" s="1"/>
      <c r="E310" s="1"/>
      <c r="F310" s="1"/>
    </row>
    <row r="311" spans="1:6" ht="15.75" customHeight="1" x14ac:dyDescent="0.35">
      <c r="A311" s="1"/>
      <c r="B311" s="1"/>
      <c r="C311" s="1"/>
      <c r="D311" s="1"/>
      <c r="E311" s="1"/>
      <c r="F311" s="1"/>
    </row>
    <row r="312" spans="1:6" ht="15.75" customHeight="1" x14ac:dyDescent="0.35">
      <c r="A312" s="1"/>
      <c r="B312" s="1"/>
      <c r="C312" s="1"/>
      <c r="D312" s="1"/>
      <c r="E312" s="1"/>
      <c r="F312" s="1"/>
    </row>
    <row r="313" spans="1:6" ht="15.75" customHeight="1" x14ac:dyDescent="0.35">
      <c r="A313" s="1"/>
      <c r="B313" s="1"/>
      <c r="C313" s="1"/>
      <c r="D313" s="1"/>
      <c r="E313" s="1"/>
      <c r="F313" s="1"/>
    </row>
    <row r="314" spans="1:6" ht="15.75" customHeight="1" x14ac:dyDescent="0.35">
      <c r="A314" s="1"/>
      <c r="B314" s="1"/>
      <c r="C314" s="1"/>
      <c r="D314" s="1"/>
      <c r="E314" s="1"/>
      <c r="F314" s="1"/>
    </row>
    <row r="315" spans="1:6" ht="15.75" customHeight="1" x14ac:dyDescent="0.35">
      <c r="A315" s="1"/>
      <c r="B315" s="1"/>
      <c r="C315" s="1"/>
      <c r="D315" s="1"/>
      <c r="E315" s="1"/>
      <c r="F315" s="1"/>
    </row>
    <row r="316" spans="1:6" ht="15.75" customHeight="1" x14ac:dyDescent="0.35">
      <c r="A316" s="1"/>
      <c r="B316" s="1"/>
      <c r="C316" s="1"/>
      <c r="D316" s="1"/>
      <c r="E316" s="1"/>
      <c r="F316" s="1"/>
    </row>
    <row r="317" spans="1:6" ht="15.75" customHeight="1" x14ac:dyDescent="0.35">
      <c r="A317" s="1"/>
      <c r="B317" s="1"/>
      <c r="C317" s="1"/>
      <c r="D317" s="1"/>
      <c r="E317" s="1"/>
      <c r="F317" s="1"/>
    </row>
    <row r="318" spans="1:6" ht="15.75" customHeight="1" x14ac:dyDescent="0.35">
      <c r="A318" s="1"/>
      <c r="B318" s="1"/>
      <c r="C318" s="1"/>
      <c r="D318" s="1"/>
      <c r="E318" s="1"/>
      <c r="F318" s="1"/>
    </row>
    <row r="319" spans="1:6" ht="15.75" customHeight="1" x14ac:dyDescent="0.35">
      <c r="A319" s="1"/>
      <c r="B319" s="1"/>
      <c r="C319" s="1"/>
      <c r="D319" s="1"/>
      <c r="E319" s="1"/>
      <c r="F319" s="1"/>
    </row>
    <row r="320" spans="1:6" ht="15.75" customHeight="1" x14ac:dyDescent="0.35">
      <c r="A320" s="1"/>
      <c r="B320" s="1"/>
      <c r="C320" s="1"/>
      <c r="D320" s="1"/>
      <c r="E320" s="1"/>
      <c r="F320" s="1"/>
    </row>
    <row r="321" spans="1:6" ht="15.75" customHeight="1" x14ac:dyDescent="0.35">
      <c r="A321" s="1"/>
      <c r="B321" s="1"/>
      <c r="C321" s="1"/>
      <c r="D321" s="1"/>
      <c r="E321" s="1"/>
      <c r="F321" s="1"/>
    </row>
    <row r="322" spans="1:6" ht="15.75" customHeight="1" x14ac:dyDescent="0.35">
      <c r="A322" s="1"/>
      <c r="B322" s="1"/>
      <c r="C322" s="1"/>
      <c r="D322" s="1"/>
      <c r="E322" s="1"/>
      <c r="F322" s="1"/>
    </row>
    <row r="323" spans="1:6" ht="15.75" customHeight="1" x14ac:dyDescent="0.35">
      <c r="A323" s="1"/>
      <c r="B323" s="1"/>
      <c r="C323" s="1"/>
      <c r="D323" s="1"/>
      <c r="E323" s="1"/>
      <c r="F323" s="1"/>
    </row>
    <row r="324" spans="1:6" ht="15.75" customHeight="1" x14ac:dyDescent="0.35">
      <c r="A324" s="1"/>
      <c r="B324" s="1"/>
      <c r="C324" s="1"/>
      <c r="D324" s="1"/>
      <c r="E324" s="1"/>
      <c r="F324" s="1"/>
    </row>
    <row r="325" spans="1:6" ht="15.75" customHeight="1" x14ac:dyDescent="0.35">
      <c r="A325" s="1"/>
      <c r="B325" s="1"/>
      <c r="C325" s="1"/>
      <c r="D325" s="1"/>
      <c r="E325" s="1"/>
      <c r="F325" s="1"/>
    </row>
    <row r="326" spans="1:6" ht="15.75" customHeight="1" x14ac:dyDescent="0.35">
      <c r="A326" s="1"/>
      <c r="B326" s="1"/>
      <c r="C326" s="1"/>
      <c r="D326" s="1"/>
      <c r="E326" s="1"/>
      <c r="F326" s="1"/>
    </row>
    <row r="327" spans="1:6" ht="15.75" customHeight="1" x14ac:dyDescent="0.35">
      <c r="A327" s="1"/>
      <c r="B327" s="1"/>
      <c r="C327" s="1"/>
      <c r="D327" s="1"/>
      <c r="E327" s="1"/>
      <c r="F327" s="1"/>
    </row>
    <row r="328" spans="1:6" ht="15.75" customHeight="1" x14ac:dyDescent="0.35">
      <c r="A328" s="1"/>
      <c r="B328" s="1"/>
      <c r="C328" s="1"/>
      <c r="D328" s="1"/>
      <c r="E328" s="1"/>
      <c r="F328" s="1"/>
    </row>
    <row r="329" spans="1:6" ht="15.75" customHeight="1" x14ac:dyDescent="0.35">
      <c r="A329" s="1"/>
      <c r="B329" s="1"/>
      <c r="C329" s="1"/>
      <c r="D329" s="1"/>
      <c r="E329" s="1"/>
      <c r="F329" s="1"/>
    </row>
    <row r="330" spans="1:6" ht="15.75" customHeight="1" x14ac:dyDescent="0.35">
      <c r="A330" s="1"/>
      <c r="B330" s="1"/>
      <c r="C330" s="1"/>
      <c r="D330" s="1"/>
      <c r="E330" s="1"/>
      <c r="F330" s="1"/>
    </row>
    <row r="331" spans="1:6" ht="15.75" customHeight="1" x14ac:dyDescent="0.35">
      <c r="A331" s="1"/>
      <c r="B331" s="1"/>
      <c r="C331" s="1"/>
      <c r="D331" s="1"/>
      <c r="E331" s="1"/>
      <c r="F331" s="1"/>
    </row>
    <row r="332" spans="1:6" ht="15.75" customHeight="1" x14ac:dyDescent="0.35">
      <c r="A332" s="1"/>
      <c r="B332" s="1"/>
      <c r="C332" s="1"/>
      <c r="D332" s="1"/>
      <c r="E332" s="1"/>
      <c r="F332" s="1"/>
    </row>
    <row r="333" spans="1:6" ht="15.75" customHeight="1" x14ac:dyDescent="0.35">
      <c r="A333" s="1"/>
      <c r="B333" s="1"/>
      <c r="C333" s="1"/>
      <c r="D333" s="1"/>
      <c r="E333" s="1"/>
      <c r="F333" s="1"/>
    </row>
    <row r="334" spans="1:6" ht="15.75" customHeight="1" x14ac:dyDescent="0.35">
      <c r="A334" s="1"/>
      <c r="B334" s="1"/>
      <c r="C334" s="1"/>
      <c r="D334" s="1"/>
      <c r="E334" s="1"/>
      <c r="F334" s="1"/>
    </row>
    <row r="335" spans="1:6" ht="15.75" customHeight="1" x14ac:dyDescent="0.35">
      <c r="A335" s="1"/>
      <c r="B335" s="1"/>
      <c r="C335" s="1"/>
      <c r="D335" s="1"/>
      <c r="E335" s="1"/>
      <c r="F335" s="1"/>
    </row>
    <row r="336" spans="1:6" ht="15.75" customHeight="1" x14ac:dyDescent="0.35">
      <c r="A336" s="1"/>
      <c r="B336" s="1"/>
      <c r="C336" s="1"/>
      <c r="D336" s="1"/>
      <c r="E336" s="1"/>
      <c r="F336" s="1"/>
    </row>
    <row r="337" spans="1:6" ht="15.75" customHeight="1" x14ac:dyDescent="0.35">
      <c r="A337" s="1"/>
      <c r="B337" s="1"/>
      <c r="C337" s="1"/>
      <c r="D337" s="1"/>
      <c r="E337" s="1"/>
      <c r="F337" s="1"/>
    </row>
    <row r="338" spans="1:6" ht="15.75" customHeight="1" x14ac:dyDescent="0.35">
      <c r="A338" s="1"/>
      <c r="B338" s="1"/>
      <c r="C338" s="1"/>
      <c r="D338" s="1"/>
      <c r="E338" s="1"/>
      <c r="F338" s="1"/>
    </row>
    <row r="339" spans="1:6" ht="15.75" customHeight="1" x14ac:dyDescent="0.35">
      <c r="A339" s="1"/>
      <c r="B339" s="1"/>
      <c r="C339" s="1"/>
      <c r="D339" s="1"/>
      <c r="E339" s="1"/>
      <c r="F339" s="1"/>
    </row>
    <row r="340" spans="1:6" ht="15.75" customHeight="1" x14ac:dyDescent="0.35">
      <c r="A340" s="1"/>
      <c r="B340" s="1"/>
      <c r="C340" s="1"/>
      <c r="D340" s="1"/>
      <c r="E340" s="1"/>
      <c r="F340" s="1"/>
    </row>
    <row r="341" spans="1:6" ht="15.75" customHeight="1" x14ac:dyDescent="0.35">
      <c r="A341" s="1"/>
      <c r="B341" s="1"/>
      <c r="C341" s="1"/>
      <c r="D341" s="1"/>
      <c r="E341" s="1"/>
      <c r="F341" s="1"/>
    </row>
    <row r="342" spans="1:6" ht="15.75" customHeight="1" x14ac:dyDescent="0.35">
      <c r="A342" s="1"/>
      <c r="B342" s="1"/>
      <c r="C342" s="1"/>
      <c r="D342" s="1"/>
      <c r="E342" s="1"/>
      <c r="F342" s="1"/>
    </row>
    <row r="343" spans="1:6" ht="15.75" customHeight="1" x14ac:dyDescent="0.35">
      <c r="A343" s="1"/>
      <c r="B343" s="1"/>
      <c r="C343" s="1"/>
      <c r="D343" s="1"/>
      <c r="E343" s="1"/>
      <c r="F343" s="1"/>
    </row>
    <row r="344" spans="1:6" ht="15.75" customHeight="1" x14ac:dyDescent="0.35">
      <c r="A344" s="1"/>
      <c r="B344" s="1"/>
      <c r="C344" s="1"/>
      <c r="D344" s="1"/>
      <c r="E344" s="1"/>
      <c r="F344" s="1"/>
    </row>
    <row r="345" spans="1:6" ht="15.75" customHeight="1" x14ac:dyDescent="0.35">
      <c r="A345" s="1"/>
      <c r="B345" s="1"/>
      <c r="C345" s="1"/>
      <c r="D345" s="1"/>
      <c r="E345" s="1"/>
      <c r="F345" s="1"/>
    </row>
    <row r="346" spans="1:6" ht="15.75" customHeight="1" x14ac:dyDescent="0.35">
      <c r="A346" s="1"/>
      <c r="B346" s="1"/>
      <c r="C346" s="1"/>
      <c r="D346" s="1"/>
      <c r="E346" s="1"/>
      <c r="F346" s="1"/>
    </row>
    <row r="347" spans="1:6" ht="15.75" customHeight="1" x14ac:dyDescent="0.35">
      <c r="A347" s="1"/>
      <c r="B347" s="1"/>
      <c r="C347" s="1"/>
      <c r="D347" s="1"/>
      <c r="E347" s="1"/>
      <c r="F347" s="1"/>
    </row>
    <row r="348" spans="1:6" ht="15.75" customHeight="1" x14ac:dyDescent="0.35">
      <c r="A348" s="1"/>
      <c r="B348" s="1"/>
      <c r="C348" s="1"/>
      <c r="D348" s="1"/>
      <c r="E348" s="1"/>
      <c r="F348" s="1"/>
    </row>
    <row r="349" spans="1:6" ht="15.75" customHeight="1" x14ac:dyDescent="0.35">
      <c r="A349" s="1"/>
      <c r="B349" s="1"/>
      <c r="C349" s="1"/>
      <c r="D349" s="1"/>
      <c r="E349" s="1"/>
      <c r="F349" s="1"/>
    </row>
    <row r="350" spans="1:6" ht="15.75" customHeight="1" x14ac:dyDescent="0.35">
      <c r="A350" s="1"/>
      <c r="B350" s="1"/>
      <c r="C350" s="1"/>
      <c r="D350" s="1"/>
      <c r="E350" s="1"/>
      <c r="F350" s="1"/>
    </row>
    <row r="351" spans="1:6" ht="15.75" customHeight="1" x14ac:dyDescent="0.35">
      <c r="A351" s="1"/>
      <c r="B351" s="1"/>
      <c r="C351" s="1"/>
      <c r="D351" s="1"/>
      <c r="E351" s="1"/>
      <c r="F351" s="1"/>
    </row>
    <row r="352" spans="1:6" ht="15.75" customHeight="1" x14ac:dyDescent="0.35">
      <c r="A352" s="1"/>
      <c r="B352" s="1"/>
      <c r="C352" s="1"/>
      <c r="D352" s="1"/>
      <c r="E352" s="1"/>
      <c r="F352" s="1"/>
    </row>
    <row r="353" spans="1:6" ht="15.75" customHeight="1" x14ac:dyDescent="0.35">
      <c r="A353" s="1"/>
      <c r="B353" s="1"/>
      <c r="C353" s="1"/>
      <c r="D353" s="1"/>
      <c r="E353" s="1"/>
      <c r="F353" s="1"/>
    </row>
    <row r="354" spans="1:6" ht="15.75" customHeight="1" x14ac:dyDescent="0.35">
      <c r="A354" s="1"/>
      <c r="B354" s="1"/>
      <c r="C354" s="1"/>
      <c r="D354" s="1"/>
      <c r="E354" s="1"/>
      <c r="F354" s="1"/>
    </row>
    <row r="355" spans="1:6" ht="15.75" customHeight="1" x14ac:dyDescent="0.35">
      <c r="A355" s="1"/>
      <c r="B355" s="1"/>
      <c r="C355" s="1"/>
      <c r="D355" s="1"/>
      <c r="E355" s="1"/>
      <c r="F355" s="1"/>
    </row>
    <row r="356" spans="1:6" ht="15.75" customHeight="1" x14ac:dyDescent="0.35">
      <c r="A356" s="1"/>
      <c r="B356" s="1"/>
      <c r="C356" s="1"/>
      <c r="D356" s="1"/>
      <c r="E356" s="1"/>
      <c r="F356" s="1"/>
    </row>
    <row r="357" spans="1:6" ht="15.75" customHeight="1" x14ac:dyDescent="0.35">
      <c r="A357" s="1"/>
      <c r="B357" s="1"/>
      <c r="C357" s="1"/>
      <c r="D357" s="1"/>
      <c r="E357" s="1"/>
      <c r="F357" s="1"/>
    </row>
    <row r="358" spans="1:6" ht="15.75" customHeight="1" x14ac:dyDescent="0.35">
      <c r="A358" s="1"/>
      <c r="B358" s="1"/>
      <c r="C358" s="1"/>
      <c r="D358" s="1"/>
      <c r="E358" s="1"/>
      <c r="F358" s="1"/>
    </row>
    <row r="359" spans="1:6" ht="15.75" customHeight="1" x14ac:dyDescent="0.35">
      <c r="A359" s="1"/>
      <c r="B359" s="1"/>
      <c r="C359" s="1"/>
      <c r="D359" s="1"/>
      <c r="E359" s="1"/>
      <c r="F359" s="1"/>
    </row>
    <row r="360" spans="1:6" ht="15.75" customHeight="1" x14ac:dyDescent="0.35">
      <c r="A360" s="1"/>
      <c r="B360" s="1"/>
      <c r="C360" s="1"/>
      <c r="D360" s="1"/>
      <c r="E360" s="1"/>
      <c r="F360" s="1"/>
    </row>
    <row r="361" spans="1:6" ht="15.75" customHeight="1" x14ac:dyDescent="0.35">
      <c r="A361" s="1"/>
      <c r="B361" s="1"/>
      <c r="C361" s="1"/>
      <c r="D361" s="1"/>
      <c r="E361" s="1"/>
      <c r="F361" s="1"/>
    </row>
    <row r="362" spans="1:6" ht="15.75" customHeight="1" x14ac:dyDescent="0.35">
      <c r="A362" s="1"/>
      <c r="B362" s="1"/>
      <c r="C362" s="1"/>
      <c r="D362" s="1"/>
      <c r="E362" s="1"/>
      <c r="F362" s="1"/>
    </row>
    <row r="363" spans="1:6" ht="15.75" customHeight="1" x14ac:dyDescent="0.35">
      <c r="A363" s="1"/>
      <c r="B363" s="1"/>
      <c r="C363" s="1"/>
      <c r="D363" s="1"/>
      <c r="E363" s="1"/>
      <c r="F363" s="1"/>
    </row>
    <row r="364" spans="1:6" ht="15.75" customHeight="1" x14ac:dyDescent="0.35">
      <c r="A364" s="1"/>
      <c r="B364" s="1"/>
      <c r="C364" s="1"/>
      <c r="D364" s="1"/>
      <c r="E364" s="1"/>
      <c r="F364" s="1"/>
    </row>
    <row r="365" spans="1:6" ht="15.75" customHeight="1" x14ac:dyDescent="0.35">
      <c r="A365" s="1"/>
      <c r="B365" s="1"/>
      <c r="C365" s="1"/>
      <c r="D365" s="1"/>
      <c r="E365" s="1"/>
      <c r="F365" s="1"/>
    </row>
    <row r="366" spans="1:6" ht="15.75" customHeight="1" x14ac:dyDescent="0.35">
      <c r="A366" s="1"/>
      <c r="B366" s="1"/>
      <c r="C366" s="1"/>
      <c r="D366" s="1"/>
      <c r="E366" s="1"/>
      <c r="F366" s="1"/>
    </row>
    <row r="367" spans="1:6" ht="15.75" customHeight="1" x14ac:dyDescent="0.35">
      <c r="A367" s="1"/>
      <c r="B367" s="1"/>
      <c r="C367" s="1"/>
      <c r="D367" s="1"/>
      <c r="E367" s="1"/>
      <c r="F367" s="1"/>
    </row>
    <row r="368" spans="1:6" ht="15.75" customHeight="1" x14ac:dyDescent="0.35">
      <c r="A368" s="1"/>
      <c r="B368" s="1"/>
      <c r="C368" s="1"/>
      <c r="D368" s="1"/>
      <c r="E368" s="1"/>
      <c r="F368" s="1"/>
    </row>
    <row r="369" spans="1:6" ht="15.75" customHeight="1" x14ac:dyDescent="0.35">
      <c r="A369" s="1"/>
      <c r="B369" s="1"/>
      <c r="C369" s="1"/>
      <c r="D369" s="1"/>
      <c r="E369" s="1"/>
      <c r="F369" s="1"/>
    </row>
    <row r="370" spans="1:6" ht="15.75" customHeight="1" x14ac:dyDescent="0.35">
      <c r="A370" s="1"/>
      <c r="B370" s="1"/>
      <c r="C370" s="1"/>
      <c r="D370" s="1"/>
      <c r="E370" s="1"/>
      <c r="F370" s="1"/>
    </row>
    <row r="371" spans="1:6" ht="15.75" customHeight="1" x14ac:dyDescent="0.35">
      <c r="A371" s="1"/>
      <c r="B371" s="1"/>
      <c r="C371" s="1"/>
      <c r="D371" s="1"/>
      <c r="E371" s="1"/>
      <c r="F371" s="1"/>
    </row>
    <row r="372" spans="1:6" ht="15.75" customHeight="1" x14ac:dyDescent="0.35">
      <c r="A372" s="1"/>
      <c r="B372" s="1"/>
      <c r="C372" s="1"/>
      <c r="D372" s="1"/>
      <c r="E372" s="1"/>
      <c r="F372" s="1"/>
    </row>
    <row r="373" spans="1:6" ht="15.75" customHeight="1" x14ac:dyDescent="0.35">
      <c r="A373" s="1"/>
      <c r="B373" s="1"/>
      <c r="C373" s="1"/>
      <c r="D373" s="1"/>
      <c r="E373" s="1"/>
      <c r="F373" s="1"/>
    </row>
    <row r="374" spans="1:6" ht="15.75" customHeight="1" x14ac:dyDescent="0.35">
      <c r="A374" s="1"/>
      <c r="B374" s="1"/>
      <c r="C374" s="1"/>
      <c r="D374" s="1"/>
      <c r="E374" s="1"/>
      <c r="F374" s="1"/>
    </row>
    <row r="375" spans="1:6" ht="15.75" customHeight="1" x14ac:dyDescent="0.35">
      <c r="A375" s="1"/>
      <c r="B375" s="1"/>
      <c r="C375" s="1"/>
      <c r="D375" s="1"/>
      <c r="E375" s="1"/>
      <c r="F375" s="1"/>
    </row>
    <row r="376" spans="1:6" ht="15.75" customHeight="1" x14ac:dyDescent="0.35">
      <c r="A376" s="1"/>
      <c r="B376" s="1"/>
      <c r="C376" s="1"/>
      <c r="D376" s="1"/>
      <c r="E376" s="1"/>
      <c r="F376" s="1"/>
    </row>
    <row r="377" spans="1:6" ht="15.75" customHeight="1" x14ac:dyDescent="0.35">
      <c r="A377" s="1"/>
      <c r="B377" s="1"/>
      <c r="C377" s="1"/>
      <c r="D377" s="1"/>
      <c r="E377" s="1"/>
      <c r="F377" s="1"/>
    </row>
    <row r="378" spans="1:6" ht="15.75" customHeight="1" x14ac:dyDescent="0.35">
      <c r="A378" s="1"/>
      <c r="B378" s="1"/>
      <c r="C378" s="1"/>
      <c r="D378" s="1"/>
      <c r="E378" s="1"/>
      <c r="F378" s="1"/>
    </row>
    <row r="379" spans="1:6" ht="15.75" customHeight="1" x14ac:dyDescent="0.35">
      <c r="A379" s="1"/>
      <c r="B379" s="1"/>
      <c r="C379" s="1"/>
      <c r="D379" s="1"/>
      <c r="E379" s="1"/>
      <c r="F379" s="1"/>
    </row>
    <row r="380" spans="1:6" ht="15.75" customHeight="1" x14ac:dyDescent="0.35">
      <c r="A380" s="1"/>
      <c r="B380" s="1"/>
      <c r="C380" s="1"/>
      <c r="D380" s="1"/>
      <c r="E380" s="1"/>
      <c r="F380" s="1"/>
    </row>
    <row r="381" spans="1:6" ht="15.75" customHeight="1" x14ac:dyDescent="0.35">
      <c r="A381" s="1"/>
      <c r="B381" s="1"/>
      <c r="C381" s="1"/>
      <c r="D381" s="1"/>
      <c r="E381" s="1"/>
      <c r="F381" s="1"/>
    </row>
    <row r="382" spans="1:6" ht="15.75" customHeight="1" x14ac:dyDescent="0.35">
      <c r="A382" s="1"/>
      <c r="B382" s="1"/>
      <c r="C382" s="1"/>
      <c r="D382" s="1"/>
      <c r="E382" s="1"/>
      <c r="F382" s="1"/>
    </row>
    <row r="383" spans="1:6" ht="15.75" customHeight="1" x14ac:dyDescent="0.35">
      <c r="A383" s="1"/>
      <c r="B383" s="1"/>
      <c r="C383" s="1"/>
      <c r="D383" s="1"/>
      <c r="E383" s="1"/>
      <c r="F383" s="1"/>
    </row>
    <row r="384" spans="1:6" ht="15.75" customHeight="1" x14ac:dyDescent="0.35">
      <c r="A384" s="1"/>
      <c r="B384" s="1"/>
      <c r="C384" s="1"/>
      <c r="D384" s="1"/>
      <c r="E384" s="1"/>
      <c r="F384" s="1"/>
    </row>
    <row r="385" spans="1:6" ht="15.75" customHeight="1" x14ac:dyDescent="0.35">
      <c r="A385" s="1"/>
      <c r="B385" s="1"/>
      <c r="C385" s="1"/>
      <c r="D385" s="1"/>
      <c r="E385" s="1"/>
      <c r="F385" s="1"/>
    </row>
    <row r="386" spans="1:6" ht="15.75" customHeight="1" x14ac:dyDescent="0.35">
      <c r="A386" s="1"/>
      <c r="B386" s="1"/>
      <c r="C386" s="1"/>
      <c r="D386" s="1"/>
      <c r="E386" s="1"/>
      <c r="F386" s="1"/>
    </row>
    <row r="387" spans="1:6" ht="15.75" customHeight="1" x14ac:dyDescent="0.35">
      <c r="A387" s="1"/>
      <c r="B387" s="1"/>
      <c r="C387" s="1"/>
      <c r="D387" s="1"/>
      <c r="E387" s="1"/>
      <c r="F387" s="1"/>
    </row>
    <row r="388" spans="1:6" ht="15.75" customHeight="1" x14ac:dyDescent="0.35">
      <c r="A388" s="1"/>
      <c r="B388" s="1"/>
      <c r="C388" s="1"/>
      <c r="D388" s="1"/>
      <c r="E388" s="1"/>
      <c r="F388" s="1"/>
    </row>
    <row r="389" spans="1:6" ht="15.75" customHeight="1" x14ac:dyDescent="0.35">
      <c r="A389" s="1"/>
      <c r="B389" s="1"/>
      <c r="C389" s="1"/>
      <c r="D389" s="1"/>
      <c r="E389" s="1"/>
      <c r="F389" s="1"/>
    </row>
    <row r="390" spans="1:6" ht="15.75" customHeight="1" x14ac:dyDescent="0.35">
      <c r="A390" s="1"/>
      <c r="B390" s="1"/>
      <c r="C390" s="1"/>
      <c r="D390" s="1"/>
      <c r="E390" s="1"/>
      <c r="F390" s="1"/>
    </row>
    <row r="391" spans="1:6" ht="15.75" customHeight="1" x14ac:dyDescent="0.35">
      <c r="A391" s="1"/>
      <c r="B391" s="1"/>
      <c r="C391" s="1"/>
      <c r="D391" s="1"/>
      <c r="E391" s="1"/>
      <c r="F391" s="1"/>
    </row>
    <row r="392" spans="1:6" ht="15.75" customHeight="1" x14ac:dyDescent="0.35">
      <c r="A392" s="1"/>
      <c r="B392" s="1"/>
      <c r="C392" s="1"/>
      <c r="D392" s="1"/>
      <c r="E392" s="1"/>
      <c r="F392" s="1"/>
    </row>
    <row r="393" spans="1:6" ht="15.75" customHeight="1" x14ac:dyDescent="0.35">
      <c r="A393" s="1"/>
      <c r="B393" s="1"/>
      <c r="C393" s="1"/>
      <c r="D393" s="1"/>
      <c r="E393" s="1"/>
      <c r="F393" s="1"/>
    </row>
    <row r="394" spans="1:6" ht="15.75" customHeight="1" x14ac:dyDescent="0.35">
      <c r="A394" s="1"/>
      <c r="B394" s="1"/>
      <c r="C394" s="1"/>
      <c r="D394" s="1"/>
      <c r="E394" s="1"/>
      <c r="F394" s="1"/>
    </row>
    <row r="395" spans="1:6" ht="15.75" customHeight="1" x14ac:dyDescent="0.35">
      <c r="A395" s="1"/>
      <c r="B395" s="1"/>
      <c r="C395" s="1"/>
      <c r="D395" s="1"/>
      <c r="E395" s="1"/>
      <c r="F395" s="1"/>
    </row>
    <row r="396" spans="1:6" ht="15.75" customHeight="1" x14ac:dyDescent="0.35">
      <c r="A396" s="1"/>
      <c r="B396" s="1"/>
      <c r="C396" s="1"/>
      <c r="D396" s="1"/>
      <c r="E396" s="1"/>
      <c r="F396" s="1"/>
    </row>
    <row r="397" spans="1:6" ht="15.75" customHeight="1" x14ac:dyDescent="0.35">
      <c r="A397" s="1"/>
      <c r="B397" s="1"/>
      <c r="C397" s="1"/>
      <c r="D397" s="1"/>
      <c r="E397" s="1"/>
      <c r="F397" s="1"/>
    </row>
    <row r="398" spans="1:6" ht="15.75" customHeight="1" x14ac:dyDescent="0.35">
      <c r="A398" s="1"/>
      <c r="B398" s="1"/>
      <c r="C398" s="1"/>
      <c r="D398" s="1"/>
      <c r="E398" s="1"/>
      <c r="F398" s="1"/>
    </row>
    <row r="399" spans="1:6" ht="15.75" customHeight="1" x14ac:dyDescent="0.35">
      <c r="A399" s="1"/>
      <c r="B399" s="1"/>
      <c r="C399" s="1"/>
      <c r="D399" s="1"/>
      <c r="E399" s="1"/>
      <c r="F399" s="1"/>
    </row>
    <row r="400" spans="1:6" ht="15.75" customHeight="1" x14ac:dyDescent="0.35">
      <c r="A400" s="1"/>
      <c r="B400" s="1"/>
      <c r="C400" s="1"/>
      <c r="D400" s="1"/>
      <c r="E400" s="1"/>
      <c r="F400" s="1"/>
    </row>
    <row r="401" spans="1:6" ht="15.75" customHeight="1" x14ac:dyDescent="0.35">
      <c r="A401" s="1"/>
      <c r="B401" s="1"/>
      <c r="C401" s="1"/>
      <c r="D401" s="1"/>
      <c r="E401" s="1"/>
      <c r="F401" s="1"/>
    </row>
    <row r="402" spans="1:6" ht="15.75" customHeight="1" x14ac:dyDescent="0.35">
      <c r="A402" s="1"/>
      <c r="B402" s="1"/>
      <c r="C402" s="1"/>
      <c r="D402" s="1"/>
      <c r="E402" s="1"/>
      <c r="F402" s="1"/>
    </row>
    <row r="403" spans="1:6" ht="15.75" customHeight="1" x14ac:dyDescent="0.35">
      <c r="A403" s="1"/>
      <c r="B403" s="1"/>
      <c r="C403" s="1"/>
      <c r="D403" s="1"/>
      <c r="E403" s="1"/>
      <c r="F403" s="1"/>
    </row>
    <row r="404" spans="1:6" ht="15.75" customHeight="1" x14ac:dyDescent="0.35">
      <c r="A404" s="1"/>
      <c r="B404" s="1"/>
      <c r="C404" s="1"/>
      <c r="D404" s="1"/>
      <c r="E404" s="1"/>
      <c r="F404" s="1"/>
    </row>
    <row r="405" spans="1:6" ht="15.75" customHeight="1" x14ac:dyDescent="0.35">
      <c r="A405" s="1"/>
      <c r="B405" s="1"/>
      <c r="C405" s="1"/>
      <c r="D405" s="1"/>
      <c r="E405" s="1"/>
      <c r="F405" s="1"/>
    </row>
    <row r="406" spans="1:6" ht="15.75" customHeight="1" x14ac:dyDescent="0.35">
      <c r="A406" s="1"/>
      <c r="B406" s="1"/>
      <c r="C406" s="1"/>
      <c r="D406" s="1"/>
      <c r="E406" s="1"/>
      <c r="F406" s="1"/>
    </row>
    <row r="407" spans="1:6" ht="15.75" customHeight="1" x14ac:dyDescent="0.35">
      <c r="A407" s="1"/>
      <c r="B407" s="1"/>
      <c r="C407" s="1"/>
      <c r="D407" s="1"/>
      <c r="E407" s="1"/>
      <c r="F407" s="1"/>
    </row>
    <row r="408" spans="1:6" ht="15.75" customHeight="1" x14ac:dyDescent="0.35">
      <c r="A408" s="1"/>
      <c r="B408" s="1"/>
      <c r="C408" s="1"/>
      <c r="D408" s="1"/>
      <c r="E408" s="1"/>
      <c r="F408" s="1"/>
    </row>
    <row r="409" spans="1:6" ht="15.75" customHeight="1" x14ac:dyDescent="0.35">
      <c r="A409" s="1"/>
      <c r="B409" s="1"/>
      <c r="C409" s="1"/>
      <c r="D409" s="1"/>
      <c r="E409" s="1"/>
      <c r="F409" s="1"/>
    </row>
    <row r="410" spans="1:6" ht="15.75" customHeight="1" x14ac:dyDescent="0.35">
      <c r="A410" s="1"/>
      <c r="B410" s="1"/>
      <c r="C410" s="1"/>
      <c r="D410" s="1"/>
      <c r="E410" s="1"/>
      <c r="F410" s="1"/>
    </row>
    <row r="411" spans="1:6" ht="15.75" customHeight="1" x14ac:dyDescent="0.35">
      <c r="A411" s="1"/>
      <c r="B411" s="1"/>
      <c r="C411" s="1"/>
      <c r="D411" s="1"/>
      <c r="E411" s="1"/>
      <c r="F411" s="1"/>
    </row>
    <row r="412" spans="1:6" ht="15.75" customHeight="1" x14ac:dyDescent="0.35">
      <c r="A412" s="1"/>
      <c r="B412" s="1"/>
      <c r="C412" s="1"/>
      <c r="D412" s="1"/>
      <c r="E412" s="1"/>
      <c r="F412" s="1"/>
    </row>
    <row r="413" spans="1:6" ht="15.75" customHeight="1" x14ac:dyDescent="0.35">
      <c r="A413" s="1"/>
      <c r="B413" s="1"/>
      <c r="C413" s="1"/>
      <c r="D413" s="1"/>
      <c r="E413" s="1"/>
      <c r="F413" s="1"/>
    </row>
    <row r="414" spans="1:6" ht="15.75" customHeight="1" x14ac:dyDescent="0.35">
      <c r="A414" s="1"/>
      <c r="B414" s="1"/>
      <c r="C414" s="1"/>
      <c r="D414" s="1"/>
      <c r="E414" s="1"/>
      <c r="F414" s="1"/>
    </row>
    <row r="415" spans="1:6" ht="15.75" customHeight="1" x14ac:dyDescent="0.35">
      <c r="A415" s="1"/>
      <c r="B415" s="1"/>
      <c r="C415" s="1"/>
      <c r="D415" s="1"/>
      <c r="E415" s="1"/>
      <c r="F415" s="1"/>
    </row>
    <row r="416" spans="1:6" ht="15.75" customHeight="1" x14ac:dyDescent="0.35">
      <c r="A416" s="1"/>
      <c r="B416" s="1"/>
      <c r="C416" s="1"/>
      <c r="D416" s="1"/>
      <c r="E416" s="1"/>
      <c r="F416" s="1"/>
    </row>
    <row r="417" spans="1:6" ht="15.75" customHeight="1" x14ac:dyDescent="0.35">
      <c r="A417" s="1"/>
      <c r="B417" s="1"/>
      <c r="C417" s="1"/>
      <c r="D417" s="1"/>
      <c r="E417" s="1"/>
      <c r="F417" s="1"/>
    </row>
    <row r="418" spans="1:6" ht="15.75" customHeight="1" x14ac:dyDescent="0.35">
      <c r="A418" s="1"/>
      <c r="B418" s="1"/>
      <c r="C418" s="1"/>
      <c r="D418" s="1"/>
      <c r="E418" s="1"/>
      <c r="F418" s="1"/>
    </row>
    <row r="419" spans="1:6" ht="15.75" customHeight="1" x14ac:dyDescent="0.35">
      <c r="A419" s="1"/>
      <c r="B419" s="1"/>
      <c r="C419" s="1"/>
      <c r="D419" s="1"/>
      <c r="E419" s="1"/>
      <c r="F419" s="1"/>
    </row>
    <row r="420" spans="1:6" ht="15.75" customHeight="1" x14ac:dyDescent="0.35">
      <c r="A420" s="1"/>
      <c r="B420" s="1"/>
      <c r="C420" s="1"/>
      <c r="D420" s="1"/>
      <c r="E420" s="1"/>
      <c r="F420" s="1"/>
    </row>
    <row r="421" spans="1:6" ht="15.75" customHeight="1" x14ac:dyDescent="0.35">
      <c r="A421" s="1"/>
      <c r="B421" s="1"/>
      <c r="C421" s="1"/>
      <c r="D421" s="1"/>
      <c r="E421" s="1"/>
      <c r="F421" s="1"/>
    </row>
    <row r="422" spans="1:6" ht="15.75" customHeight="1" x14ac:dyDescent="0.35">
      <c r="A422" s="1"/>
      <c r="B422" s="1"/>
      <c r="C422" s="1"/>
      <c r="D422" s="1"/>
      <c r="E422" s="1"/>
      <c r="F422" s="1"/>
    </row>
    <row r="423" spans="1:6" ht="15.75" customHeight="1" x14ac:dyDescent="0.35">
      <c r="A423" s="1"/>
      <c r="B423" s="1"/>
      <c r="C423" s="1"/>
      <c r="D423" s="1"/>
      <c r="E423" s="1"/>
      <c r="F423" s="1"/>
    </row>
    <row r="424" spans="1:6" ht="15.75" customHeight="1" x14ac:dyDescent="0.35">
      <c r="A424" s="1"/>
      <c r="B424" s="1"/>
      <c r="C424" s="1"/>
      <c r="D424" s="1"/>
      <c r="E424" s="1"/>
      <c r="F424" s="1"/>
    </row>
    <row r="425" spans="1:6" ht="15.75" customHeight="1" x14ac:dyDescent="0.35">
      <c r="A425" s="1"/>
      <c r="B425" s="1"/>
      <c r="C425" s="1"/>
      <c r="D425" s="1"/>
      <c r="E425" s="1"/>
      <c r="F425" s="1"/>
    </row>
    <row r="426" spans="1:6" ht="15.75" customHeight="1" x14ac:dyDescent="0.35">
      <c r="A426" s="1"/>
      <c r="B426" s="1"/>
      <c r="C426" s="1"/>
      <c r="D426" s="1"/>
      <c r="E426" s="1"/>
      <c r="F426" s="1"/>
    </row>
    <row r="427" spans="1:6" ht="15.75" customHeight="1" x14ac:dyDescent="0.35">
      <c r="A427" s="1"/>
      <c r="B427" s="1"/>
      <c r="C427" s="1"/>
      <c r="D427" s="1"/>
      <c r="E427" s="1"/>
      <c r="F427" s="1"/>
    </row>
    <row r="428" spans="1:6" ht="15.75" customHeight="1" x14ac:dyDescent="0.35">
      <c r="A428" s="1"/>
      <c r="B428" s="1"/>
      <c r="C428" s="1"/>
      <c r="D428" s="1"/>
      <c r="E428" s="1"/>
      <c r="F428" s="1"/>
    </row>
    <row r="429" spans="1:6" ht="15.75" customHeight="1" x14ac:dyDescent="0.35">
      <c r="A429" s="1"/>
      <c r="B429" s="1"/>
      <c r="C429" s="1"/>
      <c r="D429" s="1"/>
      <c r="E429" s="1"/>
      <c r="F429" s="1"/>
    </row>
    <row r="430" spans="1:6" ht="15.75" customHeight="1" x14ac:dyDescent="0.35">
      <c r="A430" s="1"/>
      <c r="B430" s="1"/>
      <c r="C430" s="1"/>
      <c r="D430" s="1"/>
      <c r="E430" s="1"/>
      <c r="F430" s="1"/>
    </row>
    <row r="431" spans="1:6" ht="15.75" customHeight="1" x14ac:dyDescent="0.35">
      <c r="A431" s="1"/>
      <c r="B431" s="1"/>
      <c r="C431" s="1"/>
      <c r="D431" s="1"/>
      <c r="E431" s="1"/>
      <c r="F431" s="1"/>
    </row>
    <row r="432" spans="1:6" ht="15.75" customHeight="1" x14ac:dyDescent="0.35">
      <c r="A432" s="1"/>
      <c r="B432" s="1"/>
      <c r="C432" s="1"/>
      <c r="D432" s="1"/>
      <c r="E432" s="1"/>
      <c r="F432" s="1"/>
    </row>
    <row r="433" spans="1:6" ht="15.75" customHeight="1" x14ac:dyDescent="0.35">
      <c r="A433" s="1"/>
      <c r="B433" s="1"/>
      <c r="C433" s="1"/>
      <c r="D433" s="1"/>
      <c r="E433" s="1"/>
      <c r="F433" s="1"/>
    </row>
    <row r="434" spans="1:6" ht="15.75" customHeight="1" x14ac:dyDescent="0.35">
      <c r="A434" s="1"/>
      <c r="B434" s="1"/>
      <c r="C434" s="1"/>
      <c r="D434" s="1"/>
      <c r="E434" s="1"/>
      <c r="F434" s="1"/>
    </row>
    <row r="435" spans="1:6" ht="15.75" customHeight="1" x14ac:dyDescent="0.35">
      <c r="A435" s="1"/>
      <c r="B435" s="1"/>
      <c r="C435" s="1"/>
      <c r="D435" s="1"/>
      <c r="E435" s="1"/>
      <c r="F435" s="1"/>
    </row>
    <row r="436" spans="1:6" ht="15.75" customHeight="1" x14ac:dyDescent="0.35">
      <c r="A436" s="1"/>
      <c r="B436" s="1"/>
      <c r="C436" s="1"/>
      <c r="D436" s="1"/>
      <c r="E436" s="1"/>
      <c r="F436" s="1"/>
    </row>
    <row r="437" spans="1:6" ht="15.75" customHeight="1" x14ac:dyDescent="0.35">
      <c r="A437" s="1"/>
      <c r="B437" s="1"/>
      <c r="C437" s="1"/>
      <c r="D437" s="1"/>
      <c r="E437" s="1"/>
      <c r="F437" s="1"/>
    </row>
    <row r="438" spans="1:6" ht="15.75" customHeight="1" x14ac:dyDescent="0.35">
      <c r="A438" s="1"/>
      <c r="B438" s="1"/>
      <c r="C438" s="1"/>
      <c r="D438" s="1"/>
      <c r="E438" s="1"/>
      <c r="F438" s="1"/>
    </row>
    <row r="439" spans="1:6" ht="15.75" customHeight="1" x14ac:dyDescent="0.35">
      <c r="A439" s="1"/>
      <c r="B439" s="1"/>
      <c r="C439" s="1"/>
      <c r="D439" s="1"/>
      <c r="E439" s="1"/>
      <c r="F439" s="1"/>
    </row>
    <row r="440" spans="1:6" ht="15.75" customHeight="1" x14ac:dyDescent="0.35">
      <c r="A440" s="1"/>
      <c r="B440" s="1"/>
      <c r="C440" s="1"/>
      <c r="D440" s="1"/>
      <c r="E440" s="1"/>
      <c r="F440" s="1"/>
    </row>
    <row r="441" spans="1:6" ht="15.75" customHeight="1" x14ac:dyDescent="0.35">
      <c r="A441" s="1"/>
      <c r="B441" s="1"/>
      <c r="C441" s="1"/>
      <c r="D441" s="1"/>
      <c r="E441" s="1"/>
      <c r="F441" s="1"/>
    </row>
    <row r="442" spans="1:6" ht="15.75" customHeight="1" x14ac:dyDescent="0.35">
      <c r="A442" s="1"/>
      <c r="B442" s="1"/>
      <c r="C442" s="1"/>
      <c r="D442" s="1"/>
      <c r="E442" s="1"/>
      <c r="F442" s="1"/>
    </row>
    <row r="443" spans="1:6" ht="15.75" customHeight="1" x14ac:dyDescent="0.35">
      <c r="A443" s="1"/>
      <c r="B443" s="1"/>
      <c r="C443" s="1"/>
      <c r="D443" s="1"/>
      <c r="E443" s="1"/>
      <c r="F443" s="1"/>
    </row>
    <row r="444" spans="1:6" ht="15.75" customHeight="1" x14ac:dyDescent="0.35">
      <c r="A444" s="1"/>
      <c r="B444" s="1"/>
      <c r="C444" s="1"/>
      <c r="D444" s="1"/>
      <c r="E444" s="1"/>
      <c r="F444" s="1"/>
    </row>
    <row r="445" spans="1:6" ht="15.75" customHeight="1" x14ac:dyDescent="0.35">
      <c r="A445" s="1"/>
      <c r="B445" s="1"/>
      <c r="C445" s="1"/>
      <c r="D445" s="1"/>
      <c r="E445" s="1"/>
      <c r="F445" s="1"/>
    </row>
    <row r="446" spans="1:6" ht="15.75" customHeight="1" x14ac:dyDescent="0.35">
      <c r="A446" s="1"/>
      <c r="B446" s="1"/>
      <c r="C446" s="1"/>
      <c r="D446" s="1"/>
      <c r="E446" s="1"/>
      <c r="F446" s="1"/>
    </row>
    <row r="447" spans="1:6" ht="15.75" customHeight="1" x14ac:dyDescent="0.35">
      <c r="A447" s="1"/>
      <c r="B447" s="1"/>
      <c r="C447" s="1"/>
      <c r="D447" s="1"/>
      <c r="E447" s="1"/>
      <c r="F447" s="1"/>
    </row>
    <row r="448" spans="1:6" ht="15.75" customHeight="1" x14ac:dyDescent="0.35">
      <c r="A448" s="1"/>
      <c r="B448" s="1"/>
      <c r="C448" s="1"/>
      <c r="D448" s="1"/>
      <c r="E448" s="1"/>
      <c r="F448" s="1"/>
    </row>
    <row r="449" spans="1:6" ht="15.75" customHeight="1" x14ac:dyDescent="0.35">
      <c r="A449" s="1"/>
      <c r="B449" s="1"/>
      <c r="C449" s="1"/>
      <c r="D449" s="1"/>
      <c r="E449" s="1"/>
      <c r="F449" s="1"/>
    </row>
    <row r="450" spans="1:6" ht="15.75" customHeight="1" x14ac:dyDescent="0.35">
      <c r="A450" s="1"/>
      <c r="B450" s="1"/>
      <c r="C450" s="1"/>
      <c r="D450" s="1"/>
      <c r="E450" s="1"/>
      <c r="F450" s="1"/>
    </row>
    <row r="451" spans="1:6" ht="15.75" customHeight="1" x14ac:dyDescent="0.35">
      <c r="A451" s="1"/>
      <c r="B451" s="1"/>
      <c r="C451" s="1"/>
      <c r="D451" s="1"/>
      <c r="E451" s="1"/>
      <c r="F451" s="1"/>
    </row>
    <row r="452" spans="1:6" ht="15.75" customHeight="1" x14ac:dyDescent="0.35">
      <c r="A452" s="1"/>
      <c r="B452" s="1"/>
      <c r="C452" s="1"/>
      <c r="D452" s="1"/>
      <c r="E452" s="1"/>
      <c r="F452" s="1"/>
    </row>
    <row r="453" spans="1:6" ht="15.75" customHeight="1" x14ac:dyDescent="0.35">
      <c r="A453" s="1"/>
      <c r="B453" s="1"/>
      <c r="C453" s="1"/>
      <c r="D453" s="1"/>
      <c r="E453" s="1"/>
      <c r="F453" s="1"/>
    </row>
    <row r="454" spans="1:6" ht="15.75" customHeight="1" x14ac:dyDescent="0.35">
      <c r="A454" s="1"/>
      <c r="B454" s="1"/>
      <c r="C454" s="1"/>
      <c r="D454" s="1"/>
      <c r="E454" s="1"/>
      <c r="F454" s="1"/>
    </row>
    <row r="455" spans="1:6" ht="15.75" customHeight="1" x14ac:dyDescent="0.35">
      <c r="A455" s="1"/>
      <c r="B455" s="1"/>
      <c r="C455" s="1"/>
      <c r="D455" s="1"/>
      <c r="E455" s="1"/>
      <c r="F455" s="1"/>
    </row>
    <row r="456" spans="1:6" ht="15.75" customHeight="1" x14ac:dyDescent="0.35">
      <c r="A456" s="1"/>
      <c r="B456" s="1"/>
      <c r="C456" s="1"/>
      <c r="D456" s="1"/>
      <c r="E456" s="1"/>
      <c r="F456" s="1"/>
    </row>
    <row r="457" spans="1:6" ht="15.75" customHeight="1" x14ac:dyDescent="0.35">
      <c r="A457" s="1"/>
      <c r="B457" s="1"/>
      <c r="C457" s="1"/>
      <c r="D457" s="1"/>
      <c r="E457" s="1"/>
      <c r="F457" s="1"/>
    </row>
    <row r="458" spans="1:6" ht="15.75" customHeight="1" x14ac:dyDescent="0.35">
      <c r="A458" s="1"/>
      <c r="B458" s="1"/>
      <c r="C458" s="1"/>
      <c r="D458" s="1"/>
      <c r="E458" s="1"/>
      <c r="F458" s="1"/>
    </row>
    <row r="459" spans="1:6" ht="15.75" customHeight="1" x14ac:dyDescent="0.35">
      <c r="A459" s="1"/>
      <c r="B459" s="1"/>
      <c r="C459" s="1"/>
      <c r="D459" s="1"/>
      <c r="E459" s="1"/>
      <c r="F459" s="1"/>
    </row>
    <row r="460" spans="1:6" ht="15.75" customHeight="1" x14ac:dyDescent="0.35">
      <c r="A460" s="1"/>
      <c r="B460" s="1"/>
      <c r="C460" s="1"/>
      <c r="D460" s="1"/>
      <c r="E460" s="1"/>
      <c r="F460" s="1"/>
    </row>
    <row r="461" spans="1:6" ht="15.75" customHeight="1" x14ac:dyDescent="0.35">
      <c r="A461" s="1"/>
      <c r="B461" s="1"/>
      <c r="C461" s="1"/>
      <c r="D461" s="1"/>
      <c r="E461" s="1"/>
      <c r="F461" s="1"/>
    </row>
    <row r="462" spans="1:6" ht="15.75" customHeight="1" x14ac:dyDescent="0.35">
      <c r="A462" s="1"/>
      <c r="B462" s="1"/>
      <c r="C462" s="1"/>
      <c r="D462" s="1"/>
      <c r="E462" s="1"/>
      <c r="F462" s="1"/>
    </row>
    <row r="463" spans="1:6" ht="15.75" customHeight="1" x14ac:dyDescent="0.35">
      <c r="A463" s="1"/>
      <c r="B463" s="1"/>
      <c r="C463" s="1"/>
      <c r="D463" s="1"/>
      <c r="E463" s="1"/>
      <c r="F463" s="1"/>
    </row>
    <row r="464" spans="1:6" ht="15.75" customHeight="1" x14ac:dyDescent="0.35">
      <c r="A464" s="1"/>
      <c r="B464" s="1"/>
      <c r="C464" s="1"/>
      <c r="D464" s="1"/>
      <c r="E464" s="1"/>
      <c r="F464" s="1"/>
    </row>
    <row r="465" spans="1:6" ht="15.75" customHeight="1" x14ac:dyDescent="0.35">
      <c r="A465" s="1"/>
      <c r="B465" s="1"/>
      <c r="C465" s="1"/>
      <c r="D465" s="1"/>
      <c r="E465" s="1"/>
      <c r="F465" s="1"/>
    </row>
    <row r="466" spans="1:6" ht="15.75" customHeight="1" x14ac:dyDescent="0.35">
      <c r="A466" s="1"/>
      <c r="B466" s="1"/>
      <c r="C466" s="1"/>
      <c r="D466" s="1"/>
      <c r="E466" s="1"/>
      <c r="F466" s="1"/>
    </row>
    <row r="467" spans="1:6" ht="15.75" customHeight="1" x14ac:dyDescent="0.35">
      <c r="A467" s="1"/>
      <c r="B467" s="1"/>
      <c r="C467" s="1"/>
      <c r="D467" s="1"/>
      <c r="E467" s="1"/>
      <c r="F467" s="1"/>
    </row>
    <row r="468" spans="1:6" ht="15.75" customHeight="1" x14ac:dyDescent="0.35">
      <c r="A468" s="1"/>
      <c r="B468" s="1"/>
      <c r="C468" s="1"/>
      <c r="D468" s="1"/>
      <c r="E468" s="1"/>
      <c r="F468" s="1"/>
    </row>
    <row r="469" spans="1:6" ht="15.75" customHeight="1" x14ac:dyDescent="0.35">
      <c r="A469" s="1"/>
      <c r="B469" s="1"/>
      <c r="C469" s="1"/>
      <c r="D469" s="1"/>
      <c r="E469" s="1"/>
      <c r="F469" s="1"/>
    </row>
    <row r="470" spans="1:6" ht="15.75" customHeight="1" x14ac:dyDescent="0.35">
      <c r="A470" s="1"/>
      <c r="B470" s="1"/>
      <c r="C470" s="1"/>
      <c r="D470" s="1"/>
      <c r="E470" s="1"/>
      <c r="F470" s="1"/>
    </row>
    <row r="471" spans="1:6" ht="15.75" customHeight="1" x14ac:dyDescent="0.35">
      <c r="A471" s="1"/>
      <c r="B471" s="1"/>
      <c r="C471" s="1"/>
      <c r="D471" s="1"/>
      <c r="E471" s="1"/>
      <c r="F471" s="1"/>
    </row>
    <row r="472" spans="1:6" ht="15.75" customHeight="1" x14ac:dyDescent="0.35">
      <c r="A472" s="1"/>
      <c r="B472" s="1"/>
      <c r="C472" s="1"/>
      <c r="D472" s="1"/>
      <c r="E472" s="1"/>
      <c r="F472" s="1"/>
    </row>
    <row r="473" spans="1:6" ht="15.75" customHeight="1" x14ac:dyDescent="0.35">
      <c r="A473" s="1"/>
      <c r="B473" s="1"/>
      <c r="C473" s="1"/>
      <c r="D473" s="1"/>
      <c r="E473" s="1"/>
      <c r="F473" s="1"/>
    </row>
    <row r="474" spans="1:6" ht="15.75" customHeight="1" x14ac:dyDescent="0.35">
      <c r="A474" s="1"/>
      <c r="B474" s="1"/>
      <c r="C474" s="1"/>
      <c r="D474" s="1"/>
      <c r="E474" s="1"/>
      <c r="F474" s="1"/>
    </row>
    <row r="475" spans="1:6" ht="15.75" customHeight="1" x14ac:dyDescent="0.35">
      <c r="A475" s="1"/>
      <c r="B475" s="1"/>
      <c r="C475" s="1"/>
      <c r="D475" s="1"/>
      <c r="E475" s="1"/>
      <c r="F475" s="1"/>
    </row>
    <row r="476" spans="1:6" ht="15.75" customHeight="1" x14ac:dyDescent="0.35">
      <c r="A476" s="1"/>
      <c r="B476" s="1"/>
      <c r="C476" s="1"/>
      <c r="D476" s="1"/>
      <c r="E476" s="1"/>
      <c r="F476" s="1"/>
    </row>
    <row r="477" spans="1:6" ht="15.75" customHeight="1" x14ac:dyDescent="0.35">
      <c r="A477" s="1"/>
      <c r="B477" s="1"/>
      <c r="C477" s="1"/>
      <c r="D477" s="1"/>
      <c r="E477" s="1"/>
      <c r="F477" s="1"/>
    </row>
    <row r="478" spans="1:6" ht="15.75" customHeight="1" x14ac:dyDescent="0.35">
      <c r="A478" s="1"/>
      <c r="B478" s="1"/>
      <c r="C478" s="1"/>
      <c r="D478" s="1"/>
      <c r="E478" s="1"/>
      <c r="F478" s="1"/>
    </row>
    <row r="479" spans="1:6" ht="15.75" customHeight="1" x14ac:dyDescent="0.35">
      <c r="A479" s="1"/>
      <c r="B479" s="1"/>
      <c r="C479" s="1"/>
      <c r="D479" s="1"/>
      <c r="E479" s="1"/>
      <c r="F479" s="1"/>
    </row>
    <row r="480" spans="1:6" ht="15.75" customHeight="1" x14ac:dyDescent="0.35">
      <c r="A480" s="1"/>
      <c r="B480" s="1"/>
      <c r="C480" s="1"/>
      <c r="D480" s="1"/>
      <c r="E480" s="1"/>
      <c r="F480" s="1"/>
    </row>
    <row r="481" spans="1:6" ht="15.75" customHeight="1" x14ac:dyDescent="0.35">
      <c r="A481" s="1"/>
      <c r="B481" s="1"/>
      <c r="C481" s="1"/>
      <c r="D481" s="1"/>
      <c r="E481" s="1"/>
      <c r="F481" s="1"/>
    </row>
    <row r="482" spans="1:6" ht="15.75" customHeight="1" x14ac:dyDescent="0.35">
      <c r="A482" s="1"/>
      <c r="B482" s="1"/>
      <c r="C482" s="1"/>
      <c r="D482" s="1"/>
      <c r="E482" s="1"/>
      <c r="F482" s="1"/>
    </row>
    <row r="483" spans="1:6" ht="15.75" customHeight="1" x14ac:dyDescent="0.35">
      <c r="A483" s="1"/>
      <c r="B483" s="1"/>
      <c r="C483" s="1"/>
      <c r="D483" s="1"/>
      <c r="E483" s="1"/>
      <c r="F483" s="1"/>
    </row>
    <row r="484" spans="1:6" ht="15.75" customHeight="1" x14ac:dyDescent="0.35">
      <c r="A484" s="1"/>
      <c r="B484" s="1"/>
      <c r="C484" s="1"/>
      <c r="D484" s="1"/>
      <c r="E484" s="1"/>
      <c r="F484" s="1"/>
    </row>
    <row r="485" spans="1:6" ht="15.75" customHeight="1" x14ac:dyDescent="0.35">
      <c r="A485" s="1"/>
      <c r="B485" s="1"/>
      <c r="C485" s="1"/>
      <c r="D485" s="1"/>
      <c r="E485" s="1"/>
      <c r="F485" s="1"/>
    </row>
    <row r="486" spans="1:6" ht="15.75" customHeight="1" x14ac:dyDescent="0.35">
      <c r="A486" s="1"/>
      <c r="B486" s="1"/>
      <c r="C486" s="1"/>
      <c r="D486" s="1"/>
      <c r="E486" s="1"/>
      <c r="F486" s="1"/>
    </row>
    <row r="487" spans="1:6" ht="15.75" customHeight="1" x14ac:dyDescent="0.35">
      <c r="A487" s="1"/>
      <c r="B487" s="1"/>
      <c r="C487" s="1"/>
      <c r="D487" s="1"/>
      <c r="E487" s="1"/>
      <c r="F487" s="1"/>
    </row>
    <row r="488" spans="1:6" ht="15.75" customHeight="1" x14ac:dyDescent="0.35">
      <c r="A488" s="1"/>
      <c r="B488" s="1"/>
      <c r="C488" s="1"/>
      <c r="D488" s="1"/>
      <c r="E488" s="1"/>
      <c r="F488" s="1"/>
    </row>
    <row r="489" spans="1:6" ht="15.75" customHeight="1" x14ac:dyDescent="0.35">
      <c r="A489" s="1"/>
      <c r="B489" s="1"/>
      <c r="C489" s="1"/>
      <c r="D489" s="1"/>
      <c r="E489" s="1"/>
      <c r="F489" s="1"/>
    </row>
    <row r="490" spans="1:6" ht="15.75" customHeight="1" x14ac:dyDescent="0.35">
      <c r="A490" s="1"/>
      <c r="B490" s="1"/>
      <c r="C490" s="1"/>
      <c r="D490" s="1"/>
      <c r="E490" s="1"/>
      <c r="F490" s="1"/>
    </row>
    <row r="491" spans="1:6" ht="15.75" customHeight="1" x14ac:dyDescent="0.35">
      <c r="A491" s="1"/>
      <c r="B491" s="1"/>
      <c r="C491" s="1"/>
      <c r="D491" s="1"/>
      <c r="E491" s="1"/>
      <c r="F491" s="1"/>
    </row>
    <row r="492" spans="1:6" ht="15.75" customHeight="1" x14ac:dyDescent="0.35">
      <c r="A492" s="1"/>
      <c r="B492" s="1"/>
      <c r="C492" s="1"/>
      <c r="D492" s="1"/>
      <c r="E492" s="1"/>
      <c r="F492" s="1"/>
    </row>
    <row r="493" spans="1:6" ht="15.75" customHeight="1" x14ac:dyDescent="0.35">
      <c r="A493" s="1"/>
      <c r="B493" s="1"/>
      <c r="C493" s="1"/>
      <c r="D493" s="1"/>
      <c r="E493" s="1"/>
      <c r="F493" s="1"/>
    </row>
    <row r="494" spans="1:6" ht="15.75" customHeight="1" x14ac:dyDescent="0.35">
      <c r="A494" s="1"/>
      <c r="B494" s="1"/>
      <c r="C494" s="1"/>
      <c r="D494" s="1"/>
      <c r="E494" s="1"/>
      <c r="F494" s="1"/>
    </row>
    <row r="495" spans="1:6" ht="15.75" customHeight="1" x14ac:dyDescent="0.35">
      <c r="A495" s="1"/>
      <c r="B495" s="1"/>
      <c r="C495" s="1"/>
      <c r="D495" s="1"/>
      <c r="E495" s="1"/>
      <c r="F495" s="1"/>
    </row>
    <row r="496" spans="1:6" ht="15.75" customHeight="1" x14ac:dyDescent="0.35">
      <c r="A496" s="1"/>
      <c r="B496" s="1"/>
      <c r="C496" s="1"/>
      <c r="D496" s="1"/>
      <c r="E496" s="1"/>
      <c r="F496" s="1"/>
    </row>
    <row r="497" spans="1:6" ht="15.75" customHeight="1" x14ac:dyDescent="0.35">
      <c r="A497" s="1"/>
      <c r="B497" s="1"/>
      <c r="C497" s="1"/>
      <c r="D497" s="1"/>
      <c r="E497" s="1"/>
      <c r="F497" s="1"/>
    </row>
    <row r="498" spans="1:6" ht="15.75" customHeight="1" x14ac:dyDescent="0.35">
      <c r="A498" s="1"/>
      <c r="B498" s="1"/>
      <c r="C498" s="1"/>
      <c r="D498" s="1"/>
      <c r="E498" s="1"/>
      <c r="F498" s="1"/>
    </row>
    <row r="499" spans="1:6" ht="15.75" customHeight="1" x14ac:dyDescent="0.35">
      <c r="A499" s="1"/>
      <c r="B499" s="1"/>
      <c r="C499" s="1"/>
      <c r="D499" s="1"/>
      <c r="E499" s="1"/>
      <c r="F499" s="1"/>
    </row>
    <row r="500" spans="1:6" ht="15.75" customHeight="1" x14ac:dyDescent="0.35">
      <c r="A500" s="1"/>
      <c r="B500" s="1"/>
      <c r="C500" s="1"/>
      <c r="D500" s="1"/>
      <c r="E500" s="1"/>
      <c r="F500" s="1"/>
    </row>
    <row r="501" spans="1:6" ht="15.75" customHeight="1" x14ac:dyDescent="0.35">
      <c r="A501" s="1"/>
      <c r="B501" s="1"/>
      <c r="C501" s="1"/>
      <c r="D501" s="1"/>
      <c r="E501" s="1"/>
      <c r="F501" s="1"/>
    </row>
    <row r="502" spans="1:6" ht="15.75" customHeight="1" x14ac:dyDescent="0.35">
      <c r="A502" s="1"/>
      <c r="B502" s="1"/>
      <c r="C502" s="1"/>
      <c r="D502" s="1"/>
      <c r="E502" s="1"/>
      <c r="F502" s="1"/>
    </row>
    <row r="503" spans="1:6" ht="15.75" customHeight="1" x14ac:dyDescent="0.35">
      <c r="A503" s="1"/>
      <c r="B503" s="1"/>
      <c r="C503" s="1"/>
      <c r="D503" s="1"/>
      <c r="E503" s="1"/>
      <c r="F503" s="1"/>
    </row>
    <row r="504" spans="1:6" ht="15.75" customHeight="1" x14ac:dyDescent="0.35">
      <c r="A504" s="1"/>
      <c r="B504" s="1"/>
      <c r="C504" s="1"/>
      <c r="D504" s="1"/>
      <c r="E504" s="1"/>
      <c r="F504" s="1"/>
    </row>
    <row r="505" spans="1:6" ht="15.75" customHeight="1" x14ac:dyDescent="0.35">
      <c r="A505" s="1"/>
      <c r="B505" s="1"/>
      <c r="C505" s="1"/>
      <c r="D505" s="1"/>
      <c r="E505" s="1"/>
      <c r="F505" s="1"/>
    </row>
    <row r="506" spans="1:6" ht="15.75" customHeight="1" x14ac:dyDescent="0.35">
      <c r="A506" s="1"/>
      <c r="B506" s="1"/>
      <c r="C506" s="1"/>
      <c r="D506" s="1"/>
      <c r="E506" s="1"/>
      <c r="F506" s="1"/>
    </row>
    <row r="507" spans="1:6" ht="15.75" customHeight="1" x14ac:dyDescent="0.35">
      <c r="A507" s="1"/>
      <c r="B507" s="1"/>
      <c r="C507" s="1"/>
      <c r="D507" s="1"/>
      <c r="E507" s="1"/>
      <c r="F507" s="1"/>
    </row>
    <row r="508" spans="1:6" ht="15.75" customHeight="1" x14ac:dyDescent="0.35">
      <c r="A508" s="1"/>
      <c r="B508" s="1"/>
      <c r="C508" s="1"/>
      <c r="D508" s="1"/>
      <c r="E508" s="1"/>
      <c r="F508" s="1"/>
    </row>
    <row r="509" spans="1:6" ht="15.75" customHeight="1" x14ac:dyDescent="0.35">
      <c r="A509" s="1"/>
      <c r="B509" s="1"/>
      <c r="C509" s="1"/>
      <c r="D509" s="1"/>
      <c r="E509" s="1"/>
      <c r="F509" s="1"/>
    </row>
    <row r="510" spans="1:6" ht="15.75" customHeight="1" x14ac:dyDescent="0.35">
      <c r="A510" s="1"/>
      <c r="B510" s="1"/>
      <c r="C510" s="1"/>
      <c r="D510" s="1"/>
      <c r="E510" s="1"/>
      <c r="F510" s="1"/>
    </row>
    <row r="511" spans="1:6" ht="15.75" customHeight="1" x14ac:dyDescent="0.35">
      <c r="A511" s="1"/>
      <c r="B511" s="1"/>
      <c r="C511" s="1"/>
      <c r="D511" s="1"/>
      <c r="E511" s="1"/>
      <c r="F511" s="1"/>
    </row>
    <row r="512" spans="1:6" ht="15.75" customHeight="1" x14ac:dyDescent="0.35">
      <c r="A512" s="1"/>
      <c r="B512" s="1"/>
      <c r="C512" s="1"/>
      <c r="D512" s="1"/>
      <c r="E512" s="1"/>
      <c r="F512" s="1"/>
    </row>
    <row r="513" spans="1:6" ht="15.75" customHeight="1" x14ac:dyDescent="0.35">
      <c r="A513" s="1"/>
      <c r="B513" s="1"/>
      <c r="C513" s="1"/>
      <c r="D513" s="1"/>
      <c r="E513" s="1"/>
      <c r="F513" s="1"/>
    </row>
    <row r="514" spans="1:6" ht="15.75" customHeight="1" x14ac:dyDescent="0.35">
      <c r="A514" s="1"/>
      <c r="B514" s="1"/>
      <c r="C514" s="1"/>
      <c r="D514" s="1"/>
      <c r="E514" s="1"/>
      <c r="F514" s="1"/>
    </row>
    <row r="515" spans="1:6" ht="15.75" customHeight="1" x14ac:dyDescent="0.35">
      <c r="A515" s="1"/>
      <c r="B515" s="1"/>
      <c r="C515" s="1"/>
      <c r="D515" s="1"/>
      <c r="E515" s="1"/>
      <c r="F515" s="1"/>
    </row>
    <row r="516" spans="1:6" ht="15.75" customHeight="1" x14ac:dyDescent="0.35">
      <c r="A516" s="1"/>
      <c r="B516" s="1"/>
      <c r="C516" s="1"/>
      <c r="D516" s="1"/>
      <c r="E516" s="1"/>
      <c r="F516" s="1"/>
    </row>
    <row r="517" spans="1:6" ht="15.75" customHeight="1" x14ac:dyDescent="0.35">
      <c r="A517" s="1"/>
      <c r="B517" s="1"/>
      <c r="C517" s="1"/>
      <c r="D517" s="1"/>
      <c r="E517" s="1"/>
      <c r="F517" s="1"/>
    </row>
    <row r="518" spans="1:6" ht="15.75" customHeight="1" x14ac:dyDescent="0.35">
      <c r="A518" s="1"/>
      <c r="B518" s="1"/>
      <c r="C518" s="1"/>
      <c r="D518" s="1"/>
      <c r="E518" s="1"/>
      <c r="F518" s="1"/>
    </row>
    <row r="519" spans="1:6" ht="15.75" customHeight="1" x14ac:dyDescent="0.35">
      <c r="A519" s="1"/>
      <c r="B519" s="1"/>
      <c r="C519" s="1"/>
      <c r="D519" s="1"/>
      <c r="E519" s="1"/>
      <c r="F519" s="1"/>
    </row>
    <row r="520" spans="1:6" ht="15.75" customHeight="1" x14ac:dyDescent="0.35">
      <c r="A520" s="1"/>
      <c r="B520" s="1"/>
      <c r="C520" s="1"/>
      <c r="D520" s="1"/>
      <c r="E520" s="1"/>
      <c r="F520" s="1"/>
    </row>
    <row r="521" spans="1:6" ht="15.75" customHeight="1" x14ac:dyDescent="0.35">
      <c r="A521" s="1"/>
      <c r="B521" s="1"/>
      <c r="C521" s="1"/>
      <c r="D521" s="1"/>
      <c r="E521" s="1"/>
      <c r="F521" s="1"/>
    </row>
    <row r="522" spans="1:6" ht="15.75" customHeight="1" x14ac:dyDescent="0.35">
      <c r="A522" s="1"/>
      <c r="B522" s="1"/>
      <c r="C522" s="1"/>
      <c r="D522" s="1"/>
      <c r="E522" s="1"/>
      <c r="F522" s="1"/>
    </row>
    <row r="523" spans="1:6" ht="15.75" customHeight="1" x14ac:dyDescent="0.35">
      <c r="A523" s="1"/>
      <c r="B523" s="1"/>
      <c r="C523" s="1"/>
      <c r="D523" s="1"/>
      <c r="E523" s="1"/>
      <c r="F523" s="1"/>
    </row>
    <row r="524" spans="1:6" ht="15.75" customHeight="1" x14ac:dyDescent="0.35">
      <c r="A524" s="1"/>
      <c r="B524" s="1"/>
      <c r="C524" s="1"/>
      <c r="D524" s="1"/>
      <c r="E524" s="1"/>
      <c r="F524" s="1"/>
    </row>
    <row r="525" spans="1:6" ht="15.75" customHeight="1" x14ac:dyDescent="0.35">
      <c r="A525" s="1"/>
      <c r="B525" s="1"/>
      <c r="C525" s="1"/>
      <c r="D525" s="1"/>
      <c r="E525" s="1"/>
      <c r="F525" s="1"/>
    </row>
    <row r="526" spans="1:6" ht="15.75" customHeight="1" x14ac:dyDescent="0.35">
      <c r="A526" s="1"/>
      <c r="B526" s="1"/>
      <c r="C526" s="1"/>
      <c r="D526" s="1"/>
      <c r="E526" s="1"/>
      <c r="F526" s="1"/>
    </row>
    <row r="527" spans="1:6" ht="15.75" customHeight="1" x14ac:dyDescent="0.35">
      <c r="A527" s="1"/>
      <c r="B527" s="1"/>
      <c r="C527" s="1"/>
      <c r="D527" s="1"/>
      <c r="E527" s="1"/>
      <c r="F527" s="1"/>
    </row>
    <row r="528" spans="1:6" ht="15.75" customHeight="1" x14ac:dyDescent="0.35">
      <c r="A528" s="1"/>
      <c r="B528" s="1"/>
      <c r="C528" s="1"/>
      <c r="D528" s="1"/>
      <c r="E528" s="1"/>
      <c r="F528" s="1"/>
    </row>
    <row r="529" spans="1:6" ht="15.75" customHeight="1" x14ac:dyDescent="0.35">
      <c r="A529" s="1"/>
      <c r="B529" s="1"/>
      <c r="C529" s="1"/>
      <c r="D529" s="1"/>
      <c r="E529" s="1"/>
      <c r="F529" s="1"/>
    </row>
    <row r="530" spans="1:6" ht="15.75" customHeight="1" x14ac:dyDescent="0.35">
      <c r="A530" s="1"/>
      <c r="B530" s="1"/>
      <c r="C530" s="1"/>
      <c r="D530" s="1"/>
      <c r="E530" s="1"/>
      <c r="F530" s="1"/>
    </row>
    <row r="531" spans="1:6" ht="15.75" customHeight="1" x14ac:dyDescent="0.35">
      <c r="A531" s="1"/>
      <c r="B531" s="1"/>
      <c r="C531" s="1"/>
      <c r="D531" s="1"/>
      <c r="E531" s="1"/>
      <c r="F531" s="1"/>
    </row>
    <row r="532" spans="1:6" ht="15.75" customHeight="1" x14ac:dyDescent="0.35">
      <c r="A532" s="1"/>
      <c r="B532" s="1"/>
      <c r="C532" s="1"/>
      <c r="D532" s="1"/>
      <c r="E532" s="1"/>
      <c r="F532" s="1"/>
    </row>
    <row r="533" spans="1:6" ht="15.75" customHeight="1" x14ac:dyDescent="0.35">
      <c r="A533" s="1"/>
      <c r="B533" s="1"/>
      <c r="C533" s="1"/>
      <c r="D533" s="1"/>
      <c r="E533" s="1"/>
      <c r="F533" s="1"/>
    </row>
    <row r="534" spans="1:6" ht="15.75" customHeight="1" x14ac:dyDescent="0.35">
      <c r="A534" s="1"/>
      <c r="B534" s="1"/>
      <c r="C534" s="1"/>
      <c r="D534" s="1"/>
      <c r="E534" s="1"/>
      <c r="F534" s="1"/>
    </row>
    <row r="535" spans="1:6" ht="15.75" customHeight="1" x14ac:dyDescent="0.35">
      <c r="A535" s="1"/>
      <c r="B535" s="1"/>
      <c r="C535" s="1"/>
      <c r="D535" s="1"/>
      <c r="E535" s="1"/>
      <c r="F535" s="1"/>
    </row>
    <row r="536" spans="1:6" ht="15.75" customHeight="1" x14ac:dyDescent="0.35">
      <c r="A536" s="1"/>
      <c r="B536" s="1"/>
      <c r="C536" s="1"/>
      <c r="D536" s="1"/>
      <c r="E536" s="1"/>
      <c r="F536" s="1"/>
    </row>
    <row r="537" spans="1:6" ht="15.75" customHeight="1" x14ac:dyDescent="0.35">
      <c r="A537" s="1"/>
      <c r="B537" s="1"/>
      <c r="C537" s="1"/>
      <c r="D537" s="1"/>
      <c r="E537" s="1"/>
      <c r="F537" s="1"/>
    </row>
    <row r="538" spans="1:6" ht="15.75" customHeight="1" x14ac:dyDescent="0.35">
      <c r="A538" s="1"/>
      <c r="B538" s="1"/>
      <c r="C538" s="1"/>
      <c r="D538" s="1"/>
      <c r="E538" s="1"/>
      <c r="F538" s="1"/>
    </row>
    <row r="539" spans="1:6" ht="15.75" customHeight="1" x14ac:dyDescent="0.35">
      <c r="A539" s="1"/>
      <c r="B539" s="1"/>
      <c r="C539" s="1"/>
      <c r="D539" s="1"/>
      <c r="E539" s="1"/>
      <c r="F539" s="1"/>
    </row>
    <row r="540" spans="1:6" ht="15.75" customHeight="1" x14ac:dyDescent="0.35">
      <c r="A540" s="1"/>
      <c r="B540" s="1"/>
      <c r="C540" s="1"/>
      <c r="D540" s="1"/>
      <c r="E540" s="1"/>
      <c r="F540" s="1"/>
    </row>
    <row r="541" spans="1:6" ht="15.75" customHeight="1" x14ac:dyDescent="0.35">
      <c r="A541" s="1"/>
      <c r="B541" s="1"/>
      <c r="C541" s="1"/>
      <c r="D541" s="1"/>
      <c r="E541" s="1"/>
      <c r="F541" s="1"/>
    </row>
    <row r="542" spans="1:6" ht="15.75" customHeight="1" x14ac:dyDescent="0.35">
      <c r="A542" s="1"/>
      <c r="B542" s="1"/>
      <c r="C542" s="1"/>
      <c r="D542" s="1"/>
      <c r="E542" s="1"/>
      <c r="F542" s="1"/>
    </row>
    <row r="543" spans="1:6" ht="15.75" customHeight="1" x14ac:dyDescent="0.35">
      <c r="A543" s="1"/>
      <c r="B543" s="1"/>
      <c r="C543" s="1"/>
      <c r="D543" s="1"/>
      <c r="E543" s="1"/>
      <c r="F543" s="1"/>
    </row>
    <row r="544" spans="1:6" ht="15.75" customHeight="1" x14ac:dyDescent="0.35">
      <c r="A544" s="1"/>
      <c r="B544" s="1"/>
      <c r="C544" s="1"/>
      <c r="D544" s="1"/>
      <c r="E544" s="1"/>
      <c r="F544" s="1"/>
    </row>
    <row r="545" spans="1:6" ht="15.75" customHeight="1" x14ac:dyDescent="0.35">
      <c r="A545" s="1"/>
      <c r="B545" s="1"/>
      <c r="C545" s="1"/>
      <c r="D545" s="1"/>
      <c r="E545" s="1"/>
      <c r="F545" s="1"/>
    </row>
    <row r="546" spans="1:6" ht="15.75" customHeight="1" x14ac:dyDescent="0.35">
      <c r="A546" s="1"/>
      <c r="B546" s="1"/>
      <c r="C546" s="1"/>
      <c r="D546" s="1"/>
      <c r="E546" s="1"/>
      <c r="F546" s="1"/>
    </row>
    <row r="547" spans="1:6" ht="15.75" customHeight="1" x14ac:dyDescent="0.35">
      <c r="A547" s="1"/>
      <c r="B547" s="1"/>
      <c r="C547" s="1"/>
      <c r="D547" s="1"/>
      <c r="E547" s="1"/>
      <c r="F547" s="1"/>
    </row>
    <row r="548" spans="1:6" ht="15.75" customHeight="1" x14ac:dyDescent="0.35">
      <c r="A548" s="1"/>
      <c r="B548" s="1"/>
      <c r="C548" s="1"/>
      <c r="D548" s="1"/>
      <c r="E548" s="1"/>
      <c r="F548" s="1"/>
    </row>
    <row r="549" spans="1:6" ht="15.75" customHeight="1" x14ac:dyDescent="0.35">
      <c r="A549" s="1"/>
      <c r="B549" s="1"/>
      <c r="C549" s="1"/>
      <c r="D549" s="1"/>
      <c r="E549" s="1"/>
      <c r="F549" s="1"/>
    </row>
    <row r="550" spans="1:6" ht="15.75" customHeight="1" x14ac:dyDescent="0.35">
      <c r="A550" s="1"/>
      <c r="B550" s="1"/>
      <c r="C550" s="1"/>
      <c r="D550" s="1"/>
      <c r="E550" s="1"/>
      <c r="F550" s="1"/>
    </row>
    <row r="551" spans="1:6" ht="15.75" customHeight="1" x14ac:dyDescent="0.35">
      <c r="A551" s="1"/>
      <c r="B551" s="1"/>
      <c r="C551" s="1"/>
      <c r="D551" s="1"/>
      <c r="E551" s="1"/>
      <c r="F551" s="1"/>
    </row>
    <row r="552" spans="1:6" ht="15.75" customHeight="1" x14ac:dyDescent="0.35">
      <c r="A552" s="1"/>
      <c r="B552" s="1"/>
      <c r="C552" s="1"/>
      <c r="D552" s="1"/>
      <c r="E552" s="1"/>
      <c r="F552" s="1"/>
    </row>
    <row r="553" spans="1:6" ht="15.75" customHeight="1" x14ac:dyDescent="0.35">
      <c r="A553" s="1"/>
      <c r="B553" s="1"/>
      <c r="C553" s="1"/>
      <c r="D553" s="1"/>
      <c r="E553" s="1"/>
      <c r="F553" s="1"/>
    </row>
    <row r="554" spans="1:6" ht="15.75" customHeight="1" x14ac:dyDescent="0.35">
      <c r="A554" s="1"/>
      <c r="B554" s="1"/>
      <c r="C554" s="1"/>
      <c r="D554" s="1"/>
      <c r="E554" s="1"/>
      <c r="F554" s="1"/>
    </row>
    <row r="555" spans="1:6" ht="15.75" customHeight="1" x14ac:dyDescent="0.35">
      <c r="A555" s="1"/>
      <c r="B555" s="1"/>
      <c r="C555" s="1"/>
      <c r="D555" s="1"/>
      <c r="E555" s="1"/>
      <c r="F555" s="1"/>
    </row>
    <row r="556" spans="1:6" ht="15.75" customHeight="1" x14ac:dyDescent="0.35">
      <c r="A556" s="1"/>
      <c r="B556" s="1"/>
      <c r="C556" s="1"/>
      <c r="D556" s="1"/>
      <c r="E556" s="1"/>
      <c r="F556" s="1"/>
    </row>
    <row r="557" spans="1:6" ht="15.75" customHeight="1" x14ac:dyDescent="0.35">
      <c r="A557" s="1"/>
      <c r="B557" s="1"/>
      <c r="C557" s="1"/>
      <c r="D557" s="1"/>
      <c r="E557" s="1"/>
      <c r="F557" s="1"/>
    </row>
    <row r="558" spans="1:6" ht="15.75" customHeight="1" x14ac:dyDescent="0.35">
      <c r="A558" s="1"/>
      <c r="B558" s="1"/>
      <c r="C558" s="1"/>
      <c r="D558" s="1"/>
      <c r="E558" s="1"/>
      <c r="F558" s="1"/>
    </row>
    <row r="559" spans="1:6" ht="15.75" customHeight="1" x14ac:dyDescent="0.35">
      <c r="A559" s="1"/>
      <c r="B559" s="1"/>
      <c r="C559" s="1"/>
      <c r="D559" s="1"/>
      <c r="E559" s="1"/>
      <c r="F559" s="1"/>
    </row>
    <row r="560" spans="1:6" ht="15.75" customHeight="1" x14ac:dyDescent="0.35">
      <c r="A560" s="1"/>
      <c r="B560" s="1"/>
      <c r="C560" s="1"/>
      <c r="D560" s="1"/>
      <c r="E560" s="1"/>
      <c r="F560" s="1"/>
    </row>
    <row r="561" spans="1:6" ht="15.75" customHeight="1" x14ac:dyDescent="0.35">
      <c r="A561" s="1"/>
      <c r="B561" s="1"/>
      <c r="C561" s="1"/>
      <c r="D561" s="1"/>
      <c r="E561" s="1"/>
      <c r="F561" s="1"/>
    </row>
    <row r="562" spans="1:6" ht="15.75" customHeight="1" x14ac:dyDescent="0.35">
      <c r="A562" s="1"/>
      <c r="B562" s="1"/>
      <c r="C562" s="1"/>
      <c r="D562" s="1"/>
      <c r="E562" s="1"/>
      <c r="F562" s="1"/>
    </row>
    <row r="563" spans="1:6" ht="15.75" customHeight="1" x14ac:dyDescent="0.35">
      <c r="A563" s="1"/>
      <c r="B563" s="1"/>
      <c r="C563" s="1"/>
      <c r="D563" s="1"/>
      <c r="E563" s="1"/>
      <c r="F563" s="1"/>
    </row>
    <row r="564" spans="1:6" ht="15.75" customHeight="1" x14ac:dyDescent="0.35">
      <c r="A564" s="1"/>
      <c r="B564" s="1"/>
      <c r="C564" s="1"/>
      <c r="D564" s="1"/>
      <c r="E564" s="1"/>
      <c r="F564" s="1"/>
    </row>
    <row r="565" spans="1:6" ht="15.75" customHeight="1" x14ac:dyDescent="0.35">
      <c r="A565" s="1"/>
      <c r="B565" s="1"/>
      <c r="C565" s="1"/>
      <c r="D565" s="1"/>
      <c r="E565" s="1"/>
      <c r="F565" s="1"/>
    </row>
    <row r="566" spans="1:6" ht="15.75" customHeight="1" x14ac:dyDescent="0.35">
      <c r="A566" s="1"/>
      <c r="B566" s="1"/>
      <c r="C566" s="1"/>
      <c r="D566" s="1"/>
      <c r="E566" s="1"/>
      <c r="F566" s="1"/>
    </row>
    <row r="567" spans="1:6" ht="15.75" customHeight="1" x14ac:dyDescent="0.35">
      <c r="A567" s="1"/>
      <c r="B567" s="1"/>
      <c r="C567" s="1"/>
      <c r="D567" s="1"/>
      <c r="E567" s="1"/>
      <c r="F567" s="1"/>
    </row>
    <row r="568" spans="1:6" ht="15.75" customHeight="1" x14ac:dyDescent="0.35">
      <c r="A568" s="1"/>
      <c r="B568" s="1"/>
      <c r="C568" s="1"/>
      <c r="D568" s="1"/>
      <c r="E568" s="1"/>
      <c r="F568" s="1"/>
    </row>
    <row r="569" spans="1:6" ht="15.75" customHeight="1" x14ac:dyDescent="0.35">
      <c r="A569" s="1"/>
      <c r="B569" s="1"/>
      <c r="C569" s="1"/>
      <c r="D569" s="1"/>
      <c r="E569" s="1"/>
      <c r="F569" s="1"/>
    </row>
    <row r="570" spans="1:6" ht="15.75" customHeight="1" x14ac:dyDescent="0.35">
      <c r="A570" s="1"/>
      <c r="B570" s="1"/>
      <c r="C570" s="1"/>
      <c r="D570" s="1"/>
      <c r="E570" s="1"/>
      <c r="F570" s="1"/>
    </row>
    <row r="571" spans="1:6" ht="15.75" customHeight="1" x14ac:dyDescent="0.35">
      <c r="A571" s="1"/>
      <c r="B571" s="1"/>
      <c r="C571" s="1"/>
      <c r="D571" s="1"/>
      <c r="E571" s="1"/>
      <c r="F571" s="1"/>
    </row>
    <row r="572" spans="1:6" ht="15.75" customHeight="1" x14ac:dyDescent="0.35">
      <c r="A572" s="1"/>
      <c r="B572" s="1"/>
      <c r="C572" s="1"/>
      <c r="D572" s="1"/>
      <c r="E572" s="1"/>
      <c r="F572" s="1"/>
    </row>
    <row r="573" spans="1:6" ht="15.75" customHeight="1" x14ac:dyDescent="0.35">
      <c r="A573" s="1"/>
      <c r="B573" s="1"/>
      <c r="C573" s="1"/>
      <c r="D573" s="1"/>
      <c r="E573" s="1"/>
      <c r="F573" s="1"/>
    </row>
    <row r="574" spans="1:6" ht="15.75" customHeight="1" x14ac:dyDescent="0.35">
      <c r="A574" s="1"/>
      <c r="B574" s="1"/>
      <c r="C574" s="1"/>
      <c r="D574" s="1"/>
      <c r="E574" s="1"/>
      <c r="F574" s="1"/>
    </row>
    <row r="575" spans="1:6" ht="15.75" customHeight="1" x14ac:dyDescent="0.35">
      <c r="A575" s="1"/>
      <c r="B575" s="1"/>
      <c r="C575" s="1"/>
      <c r="D575" s="1"/>
      <c r="E575" s="1"/>
      <c r="F575" s="1"/>
    </row>
    <row r="576" spans="1:6" ht="15.75" customHeight="1" x14ac:dyDescent="0.35">
      <c r="A576" s="1"/>
      <c r="B576" s="1"/>
      <c r="C576" s="1"/>
      <c r="D576" s="1"/>
      <c r="E576" s="1"/>
      <c r="F576" s="1"/>
    </row>
    <row r="577" spans="1:6" ht="15.75" customHeight="1" x14ac:dyDescent="0.35">
      <c r="A577" s="1"/>
      <c r="B577" s="1"/>
      <c r="C577" s="1"/>
      <c r="D577" s="1"/>
      <c r="E577" s="1"/>
      <c r="F577" s="1"/>
    </row>
    <row r="578" spans="1:6" ht="15.75" customHeight="1" x14ac:dyDescent="0.35">
      <c r="A578" s="1"/>
      <c r="B578" s="1"/>
      <c r="C578" s="1"/>
      <c r="D578" s="1"/>
      <c r="E578" s="1"/>
      <c r="F578" s="1"/>
    </row>
    <row r="579" spans="1:6" ht="15.75" customHeight="1" x14ac:dyDescent="0.35">
      <c r="A579" s="1"/>
      <c r="B579" s="1"/>
      <c r="C579" s="1"/>
      <c r="D579" s="1"/>
      <c r="E579" s="1"/>
      <c r="F579" s="1"/>
    </row>
    <row r="580" spans="1:6" ht="15.75" customHeight="1" x14ac:dyDescent="0.35">
      <c r="A580" s="1"/>
      <c r="B580" s="1"/>
      <c r="C580" s="1"/>
      <c r="D580" s="1"/>
      <c r="E580" s="1"/>
      <c r="F580" s="1"/>
    </row>
    <row r="581" spans="1:6" ht="15.75" customHeight="1" x14ac:dyDescent="0.35">
      <c r="A581" s="1"/>
      <c r="B581" s="1"/>
      <c r="C581" s="1"/>
      <c r="D581" s="1"/>
      <c r="E581" s="1"/>
      <c r="F581" s="1"/>
    </row>
    <row r="582" spans="1:6" ht="15.75" customHeight="1" x14ac:dyDescent="0.35">
      <c r="A582" s="1"/>
      <c r="B582" s="1"/>
      <c r="C582" s="1"/>
      <c r="D582" s="1"/>
      <c r="E582" s="1"/>
      <c r="F582" s="1"/>
    </row>
    <row r="583" spans="1:6" ht="15.75" customHeight="1" x14ac:dyDescent="0.35">
      <c r="A583" s="1"/>
      <c r="B583" s="1"/>
      <c r="C583" s="1"/>
      <c r="D583" s="1"/>
      <c r="E583" s="1"/>
      <c r="F583" s="1"/>
    </row>
    <row r="584" spans="1:6" ht="15.75" customHeight="1" x14ac:dyDescent="0.35">
      <c r="A584" s="1"/>
      <c r="B584" s="1"/>
      <c r="C584" s="1"/>
      <c r="D584" s="1"/>
      <c r="E584" s="1"/>
      <c r="F584" s="1"/>
    </row>
    <row r="585" spans="1:6" ht="15.75" customHeight="1" x14ac:dyDescent="0.35">
      <c r="A585" s="1"/>
      <c r="B585" s="1"/>
      <c r="C585" s="1"/>
      <c r="D585" s="1"/>
      <c r="E585" s="1"/>
      <c r="F585" s="1"/>
    </row>
    <row r="586" spans="1:6" ht="15.75" customHeight="1" x14ac:dyDescent="0.35">
      <c r="A586" s="1"/>
      <c r="B586" s="1"/>
      <c r="C586" s="1"/>
      <c r="D586" s="1"/>
      <c r="E586" s="1"/>
      <c r="F586" s="1"/>
    </row>
    <row r="587" spans="1:6" ht="15.75" customHeight="1" x14ac:dyDescent="0.35">
      <c r="A587" s="1"/>
      <c r="B587" s="1"/>
      <c r="C587" s="1"/>
      <c r="D587" s="1"/>
      <c r="E587" s="1"/>
      <c r="F587" s="1"/>
    </row>
    <row r="588" spans="1:6" ht="15.75" customHeight="1" x14ac:dyDescent="0.35">
      <c r="A588" s="1"/>
      <c r="B588" s="1"/>
      <c r="C588" s="1"/>
      <c r="D588" s="1"/>
      <c r="E588" s="1"/>
      <c r="F588" s="1"/>
    </row>
    <row r="589" spans="1:6" ht="15.75" customHeight="1" x14ac:dyDescent="0.35">
      <c r="A589" s="1"/>
      <c r="B589" s="1"/>
      <c r="C589" s="1"/>
      <c r="D589" s="1"/>
      <c r="E589" s="1"/>
      <c r="F589" s="1"/>
    </row>
    <row r="590" spans="1:6" ht="15.75" customHeight="1" x14ac:dyDescent="0.35">
      <c r="A590" s="1"/>
      <c r="B590" s="1"/>
      <c r="C590" s="1"/>
      <c r="D590" s="1"/>
      <c r="E590" s="1"/>
      <c r="F590" s="1"/>
    </row>
    <row r="591" spans="1:6" ht="15.75" customHeight="1" x14ac:dyDescent="0.35">
      <c r="A591" s="1"/>
      <c r="B591" s="1"/>
      <c r="C591" s="1"/>
      <c r="D591" s="1"/>
      <c r="E591" s="1"/>
      <c r="F591" s="1"/>
    </row>
    <row r="592" spans="1:6" ht="15.75" customHeight="1" x14ac:dyDescent="0.35">
      <c r="A592" s="1"/>
      <c r="B592" s="1"/>
      <c r="C592" s="1"/>
      <c r="D592" s="1"/>
      <c r="E592" s="1"/>
      <c r="F592" s="1"/>
    </row>
    <row r="593" spans="1:6" ht="15.75" customHeight="1" x14ac:dyDescent="0.35">
      <c r="A593" s="1"/>
      <c r="B593" s="1"/>
      <c r="C593" s="1"/>
      <c r="D593" s="1"/>
      <c r="E593" s="1"/>
      <c r="F593" s="1"/>
    </row>
    <row r="594" spans="1:6" ht="15.75" customHeight="1" x14ac:dyDescent="0.35">
      <c r="A594" s="1"/>
      <c r="B594" s="1"/>
      <c r="C594" s="1"/>
      <c r="D594" s="1"/>
      <c r="E594" s="1"/>
      <c r="F594" s="1"/>
    </row>
    <row r="595" spans="1:6" ht="15.75" customHeight="1" x14ac:dyDescent="0.35">
      <c r="A595" s="1"/>
      <c r="B595" s="1"/>
      <c r="C595" s="1"/>
      <c r="D595" s="1"/>
      <c r="E595" s="1"/>
      <c r="F595" s="1"/>
    </row>
    <row r="596" spans="1:6" ht="15.75" customHeight="1" x14ac:dyDescent="0.35">
      <c r="A596" s="1"/>
      <c r="B596" s="1"/>
      <c r="C596" s="1"/>
      <c r="D596" s="1"/>
      <c r="E596" s="1"/>
      <c r="F596" s="1"/>
    </row>
    <row r="597" spans="1:6" ht="15.75" customHeight="1" x14ac:dyDescent="0.35">
      <c r="A597" s="1"/>
      <c r="B597" s="1"/>
      <c r="C597" s="1"/>
      <c r="D597" s="1"/>
      <c r="E597" s="1"/>
      <c r="F597" s="1"/>
    </row>
    <row r="598" spans="1:6" ht="15.75" customHeight="1" x14ac:dyDescent="0.35">
      <c r="A598" s="1"/>
      <c r="B598" s="1"/>
      <c r="C598" s="1"/>
      <c r="D598" s="1"/>
      <c r="E598" s="1"/>
      <c r="F598" s="1"/>
    </row>
    <row r="599" spans="1:6" ht="15.75" customHeight="1" x14ac:dyDescent="0.35">
      <c r="A599" s="1"/>
      <c r="B599" s="1"/>
      <c r="C599" s="1"/>
      <c r="D599" s="1"/>
      <c r="E599" s="1"/>
      <c r="F599" s="1"/>
    </row>
    <row r="600" spans="1:6" ht="15.75" customHeight="1" x14ac:dyDescent="0.35">
      <c r="A600" s="1"/>
      <c r="B600" s="1"/>
      <c r="C600" s="1"/>
      <c r="D600" s="1"/>
      <c r="E600" s="1"/>
      <c r="F600" s="1"/>
    </row>
    <row r="601" spans="1:6" ht="15.75" customHeight="1" x14ac:dyDescent="0.35">
      <c r="A601" s="1"/>
      <c r="B601" s="1"/>
      <c r="C601" s="1"/>
      <c r="D601" s="1"/>
      <c r="E601" s="1"/>
      <c r="F601" s="1"/>
    </row>
    <row r="602" spans="1:6" ht="15.75" customHeight="1" x14ac:dyDescent="0.35">
      <c r="A602" s="1"/>
      <c r="B602" s="1"/>
      <c r="C602" s="1"/>
      <c r="D602" s="1"/>
      <c r="E602" s="1"/>
      <c r="F602" s="1"/>
    </row>
    <row r="603" spans="1:6" ht="15.75" customHeight="1" x14ac:dyDescent="0.35">
      <c r="A603" s="1"/>
      <c r="B603" s="1"/>
      <c r="C603" s="1"/>
      <c r="D603" s="1"/>
      <c r="E603" s="1"/>
      <c r="F603" s="1"/>
    </row>
    <row r="604" spans="1:6" ht="15.75" customHeight="1" x14ac:dyDescent="0.35">
      <c r="A604" s="1"/>
      <c r="B604" s="1"/>
      <c r="C604" s="1"/>
      <c r="D604" s="1"/>
      <c r="E604" s="1"/>
      <c r="F604" s="1"/>
    </row>
    <row r="605" spans="1:6" ht="15.75" customHeight="1" x14ac:dyDescent="0.35">
      <c r="A605" s="1"/>
      <c r="B605" s="1"/>
      <c r="C605" s="1"/>
      <c r="D605" s="1"/>
      <c r="E605" s="1"/>
      <c r="F605" s="1"/>
    </row>
    <row r="606" spans="1:6" ht="15.75" customHeight="1" x14ac:dyDescent="0.35">
      <c r="A606" s="1"/>
      <c r="B606" s="1"/>
      <c r="C606" s="1"/>
      <c r="D606" s="1"/>
      <c r="E606" s="1"/>
      <c r="F606" s="1"/>
    </row>
    <row r="607" spans="1:6" ht="15.75" customHeight="1" x14ac:dyDescent="0.35">
      <c r="A607" s="1"/>
      <c r="B607" s="1"/>
      <c r="C607" s="1"/>
      <c r="D607" s="1"/>
      <c r="E607" s="1"/>
      <c r="F607" s="1"/>
    </row>
    <row r="608" spans="1:6" ht="15.75" customHeight="1" x14ac:dyDescent="0.35">
      <c r="A608" s="1"/>
      <c r="B608" s="1"/>
      <c r="C608" s="1"/>
      <c r="D608" s="1"/>
      <c r="E608" s="1"/>
      <c r="F608" s="1"/>
    </row>
    <row r="609" spans="1:6" ht="15.75" customHeight="1" x14ac:dyDescent="0.35">
      <c r="A609" s="1"/>
      <c r="B609" s="1"/>
      <c r="C609" s="1"/>
      <c r="D609" s="1"/>
      <c r="E609" s="1"/>
      <c r="F609" s="1"/>
    </row>
    <row r="610" spans="1:6" ht="15.75" customHeight="1" x14ac:dyDescent="0.35">
      <c r="A610" s="1"/>
      <c r="B610" s="1"/>
      <c r="C610" s="1"/>
      <c r="D610" s="1"/>
      <c r="E610" s="1"/>
      <c r="F610" s="1"/>
    </row>
    <row r="611" spans="1:6" ht="15.75" customHeight="1" x14ac:dyDescent="0.35">
      <c r="A611" s="1"/>
      <c r="B611" s="1"/>
      <c r="C611" s="1"/>
      <c r="D611" s="1"/>
      <c r="E611" s="1"/>
      <c r="F611" s="1"/>
    </row>
    <row r="612" spans="1:6" ht="15.75" customHeight="1" x14ac:dyDescent="0.35">
      <c r="A612" s="1"/>
      <c r="B612" s="1"/>
      <c r="C612" s="1"/>
      <c r="D612" s="1"/>
      <c r="E612" s="1"/>
      <c r="F612" s="1"/>
    </row>
    <row r="613" spans="1:6" ht="15.75" customHeight="1" x14ac:dyDescent="0.35">
      <c r="A613" s="1"/>
      <c r="B613" s="1"/>
      <c r="C613" s="1"/>
      <c r="D613" s="1"/>
      <c r="E613" s="1"/>
      <c r="F613" s="1"/>
    </row>
    <row r="614" spans="1:6" ht="15.75" customHeight="1" x14ac:dyDescent="0.35">
      <c r="A614" s="1"/>
      <c r="B614" s="1"/>
      <c r="C614" s="1"/>
      <c r="D614" s="1"/>
      <c r="E614" s="1"/>
      <c r="F614" s="1"/>
    </row>
    <row r="615" spans="1:6" ht="15.75" customHeight="1" x14ac:dyDescent="0.35">
      <c r="A615" s="1"/>
      <c r="B615" s="1"/>
      <c r="C615" s="1"/>
      <c r="D615" s="1"/>
      <c r="E615" s="1"/>
      <c r="F615" s="1"/>
    </row>
    <row r="616" spans="1:6" ht="15.75" customHeight="1" x14ac:dyDescent="0.35">
      <c r="A616" s="1"/>
      <c r="B616" s="1"/>
      <c r="C616" s="1"/>
      <c r="D616" s="1"/>
      <c r="E616" s="1"/>
      <c r="F616" s="1"/>
    </row>
    <row r="617" spans="1:6" ht="15.75" customHeight="1" x14ac:dyDescent="0.35">
      <c r="A617" s="1"/>
      <c r="B617" s="1"/>
      <c r="C617" s="1"/>
      <c r="D617" s="1"/>
      <c r="E617" s="1"/>
      <c r="F617" s="1"/>
    </row>
    <row r="618" spans="1:6" ht="15.75" customHeight="1" x14ac:dyDescent="0.35">
      <c r="A618" s="1"/>
      <c r="B618" s="1"/>
      <c r="C618" s="1"/>
      <c r="D618" s="1"/>
      <c r="E618" s="1"/>
      <c r="F618" s="1"/>
    </row>
    <row r="619" spans="1:6" ht="15.75" customHeight="1" x14ac:dyDescent="0.35">
      <c r="A619" s="1"/>
      <c r="B619" s="1"/>
      <c r="C619" s="1"/>
      <c r="D619" s="1"/>
      <c r="E619" s="1"/>
      <c r="F619" s="1"/>
    </row>
    <row r="620" spans="1:6" ht="15.75" customHeight="1" x14ac:dyDescent="0.35">
      <c r="A620" s="1"/>
      <c r="B620" s="1"/>
      <c r="C620" s="1"/>
      <c r="D620" s="1"/>
      <c r="E620" s="1"/>
      <c r="F620" s="1"/>
    </row>
    <row r="621" spans="1:6" ht="15.75" customHeight="1" x14ac:dyDescent="0.35">
      <c r="A621" s="1"/>
      <c r="B621" s="1"/>
      <c r="C621" s="1"/>
      <c r="D621" s="1"/>
      <c r="E621" s="1"/>
      <c r="F621" s="1"/>
    </row>
    <row r="622" spans="1:6" ht="15.75" customHeight="1" x14ac:dyDescent="0.35">
      <c r="A622" s="1"/>
      <c r="B622" s="1"/>
      <c r="C622" s="1"/>
      <c r="D622" s="1"/>
      <c r="E622" s="1"/>
      <c r="F622" s="1"/>
    </row>
    <row r="623" spans="1:6" ht="15.75" customHeight="1" x14ac:dyDescent="0.35">
      <c r="A623" s="1"/>
      <c r="B623" s="1"/>
      <c r="C623" s="1"/>
      <c r="D623" s="1"/>
      <c r="E623" s="1"/>
      <c r="F623" s="1"/>
    </row>
    <row r="624" spans="1:6" ht="15.75" customHeight="1" x14ac:dyDescent="0.35">
      <c r="A624" s="1"/>
      <c r="B624" s="1"/>
      <c r="C624" s="1"/>
      <c r="D624" s="1"/>
      <c r="E624" s="1"/>
      <c r="F624" s="1"/>
    </row>
    <row r="625" spans="1:6" ht="15.75" customHeight="1" x14ac:dyDescent="0.35">
      <c r="A625" s="1"/>
      <c r="B625" s="1"/>
      <c r="C625" s="1"/>
      <c r="D625" s="1"/>
      <c r="E625" s="1"/>
      <c r="F625" s="1"/>
    </row>
    <row r="626" spans="1:6" ht="15.75" customHeight="1" x14ac:dyDescent="0.35">
      <c r="A626" s="1"/>
      <c r="B626" s="1"/>
      <c r="C626" s="1"/>
      <c r="D626" s="1"/>
      <c r="E626" s="1"/>
      <c r="F626" s="1"/>
    </row>
    <row r="627" spans="1:6" ht="15.75" customHeight="1" x14ac:dyDescent="0.35">
      <c r="A627" s="1"/>
      <c r="B627" s="1"/>
      <c r="C627" s="1"/>
      <c r="D627" s="1"/>
      <c r="E627" s="1"/>
      <c r="F627" s="1"/>
    </row>
    <row r="628" spans="1:6" ht="15.75" customHeight="1" x14ac:dyDescent="0.35">
      <c r="A628" s="1"/>
      <c r="B628" s="1"/>
      <c r="C628" s="1"/>
      <c r="D628" s="1"/>
      <c r="E628" s="1"/>
      <c r="F628" s="1"/>
    </row>
    <row r="629" spans="1:6" ht="15.75" customHeight="1" x14ac:dyDescent="0.35">
      <c r="A629" s="1"/>
      <c r="B629" s="1"/>
      <c r="C629" s="1"/>
      <c r="D629" s="1"/>
      <c r="E629" s="1"/>
      <c r="F629" s="1"/>
    </row>
    <row r="630" spans="1:6" ht="15.75" customHeight="1" x14ac:dyDescent="0.35">
      <c r="A630" s="1"/>
      <c r="B630" s="1"/>
      <c r="C630" s="1"/>
      <c r="D630" s="1"/>
      <c r="E630" s="1"/>
      <c r="F630" s="1"/>
    </row>
    <row r="631" spans="1:6" ht="15.75" customHeight="1" x14ac:dyDescent="0.35">
      <c r="A631" s="1"/>
      <c r="B631" s="1"/>
      <c r="C631" s="1"/>
      <c r="D631" s="1"/>
      <c r="E631" s="1"/>
      <c r="F631" s="1"/>
    </row>
    <row r="632" spans="1:6" ht="15.75" customHeight="1" x14ac:dyDescent="0.35">
      <c r="A632" s="1"/>
      <c r="B632" s="1"/>
      <c r="C632" s="1"/>
      <c r="D632" s="1"/>
      <c r="E632" s="1"/>
      <c r="F632" s="1"/>
    </row>
    <row r="633" spans="1:6" ht="15.75" customHeight="1" x14ac:dyDescent="0.35">
      <c r="A633" s="1"/>
      <c r="B633" s="1"/>
      <c r="C633" s="1"/>
      <c r="D633" s="1"/>
      <c r="E633" s="1"/>
      <c r="F633" s="1"/>
    </row>
    <row r="634" spans="1:6" ht="15.75" customHeight="1" x14ac:dyDescent="0.35">
      <c r="A634" s="1"/>
      <c r="B634" s="1"/>
      <c r="C634" s="1"/>
      <c r="D634" s="1"/>
      <c r="E634" s="1"/>
      <c r="F634" s="1"/>
    </row>
    <row r="635" spans="1:6" ht="15.75" customHeight="1" x14ac:dyDescent="0.35">
      <c r="A635" s="1"/>
      <c r="B635" s="1"/>
      <c r="C635" s="1"/>
      <c r="D635" s="1"/>
      <c r="E635" s="1"/>
      <c r="F635" s="1"/>
    </row>
    <row r="636" spans="1:6" ht="15.75" customHeight="1" x14ac:dyDescent="0.35">
      <c r="A636" s="1"/>
      <c r="B636" s="1"/>
      <c r="C636" s="1"/>
      <c r="D636" s="1"/>
      <c r="E636" s="1"/>
      <c r="F636" s="1"/>
    </row>
    <row r="637" spans="1:6" ht="15.75" customHeight="1" x14ac:dyDescent="0.35">
      <c r="A637" s="1"/>
      <c r="B637" s="1"/>
      <c r="C637" s="1"/>
      <c r="D637" s="1"/>
      <c r="E637" s="1"/>
      <c r="F637" s="1"/>
    </row>
    <row r="638" spans="1:6" ht="15.75" customHeight="1" x14ac:dyDescent="0.35">
      <c r="A638" s="1"/>
      <c r="B638" s="1"/>
      <c r="C638" s="1"/>
      <c r="D638" s="1"/>
      <c r="E638" s="1"/>
      <c r="F638" s="1"/>
    </row>
    <row r="639" spans="1:6" ht="15.75" customHeight="1" x14ac:dyDescent="0.35">
      <c r="A639" s="1"/>
      <c r="B639" s="1"/>
      <c r="C639" s="1"/>
      <c r="D639" s="1"/>
      <c r="E639" s="1"/>
      <c r="F639" s="1"/>
    </row>
    <row r="640" spans="1:6" ht="15.75" customHeight="1" x14ac:dyDescent="0.35">
      <c r="A640" s="1"/>
      <c r="B640" s="1"/>
      <c r="C640" s="1"/>
      <c r="D640" s="1"/>
      <c r="E640" s="1"/>
      <c r="F640" s="1"/>
    </row>
    <row r="641" spans="1:6" ht="15.75" customHeight="1" x14ac:dyDescent="0.35">
      <c r="A641" s="1"/>
      <c r="B641" s="1"/>
      <c r="C641" s="1"/>
      <c r="D641" s="1"/>
      <c r="E641" s="1"/>
      <c r="F641" s="1"/>
    </row>
    <row r="642" spans="1:6" ht="15.75" customHeight="1" x14ac:dyDescent="0.35">
      <c r="A642" s="1"/>
      <c r="B642" s="1"/>
      <c r="C642" s="1"/>
      <c r="D642" s="1"/>
      <c r="E642" s="1"/>
      <c r="F642" s="1"/>
    </row>
    <row r="643" spans="1:6" ht="15.75" customHeight="1" x14ac:dyDescent="0.35">
      <c r="A643" s="1"/>
      <c r="B643" s="1"/>
      <c r="C643" s="1"/>
      <c r="D643" s="1"/>
      <c r="E643" s="1"/>
      <c r="F643" s="1"/>
    </row>
    <row r="644" spans="1:6" ht="15.75" customHeight="1" x14ac:dyDescent="0.35">
      <c r="A644" s="1"/>
      <c r="B644" s="1"/>
      <c r="C644" s="1"/>
      <c r="D644" s="1"/>
      <c r="E644" s="1"/>
      <c r="F644" s="1"/>
    </row>
    <row r="645" spans="1:6" ht="15.75" customHeight="1" x14ac:dyDescent="0.35">
      <c r="A645" s="1"/>
      <c r="B645" s="1"/>
      <c r="C645" s="1"/>
      <c r="D645" s="1"/>
      <c r="E645" s="1"/>
      <c r="F645" s="1"/>
    </row>
    <row r="646" spans="1:6" ht="15.75" customHeight="1" x14ac:dyDescent="0.35">
      <c r="A646" s="1"/>
      <c r="B646" s="1"/>
      <c r="C646" s="1"/>
      <c r="D646" s="1"/>
      <c r="E646" s="1"/>
      <c r="F646" s="1"/>
    </row>
    <row r="647" spans="1:6" ht="15.75" customHeight="1" x14ac:dyDescent="0.35">
      <c r="A647" s="1"/>
      <c r="B647" s="1"/>
      <c r="C647" s="1"/>
      <c r="D647" s="1"/>
      <c r="E647" s="1"/>
      <c r="F647" s="1"/>
    </row>
    <row r="648" spans="1:6" ht="15.75" customHeight="1" x14ac:dyDescent="0.35">
      <c r="A648" s="1"/>
      <c r="B648" s="1"/>
      <c r="C648" s="1"/>
      <c r="D648" s="1"/>
      <c r="E648" s="1"/>
      <c r="F648" s="1"/>
    </row>
    <row r="649" spans="1:6" ht="15.75" customHeight="1" x14ac:dyDescent="0.35">
      <c r="A649" s="1"/>
      <c r="B649" s="1"/>
      <c r="C649" s="1"/>
      <c r="D649" s="1"/>
      <c r="E649" s="1"/>
      <c r="F649" s="1"/>
    </row>
    <row r="650" spans="1:6" ht="15.75" customHeight="1" x14ac:dyDescent="0.35">
      <c r="A650" s="1"/>
      <c r="B650" s="1"/>
      <c r="C650" s="1"/>
      <c r="D650" s="1"/>
      <c r="E650" s="1"/>
      <c r="F650" s="1"/>
    </row>
    <row r="651" spans="1:6" ht="15.75" customHeight="1" x14ac:dyDescent="0.35">
      <c r="A651" s="1"/>
      <c r="B651" s="1"/>
      <c r="C651" s="1"/>
      <c r="D651" s="1"/>
      <c r="E651" s="1"/>
      <c r="F651" s="1"/>
    </row>
    <row r="652" spans="1:6" ht="15.75" customHeight="1" x14ac:dyDescent="0.35">
      <c r="A652" s="1"/>
      <c r="B652" s="1"/>
      <c r="C652" s="1"/>
      <c r="D652" s="1"/>
      <c r="E652" s="1"/>
      <c r="F652" s="1"/>
    </row>
    <row r="653" spans="1:6" ht="15.75" customHeight="1" x14ac:dyDescent="0.35">
      <c r="A653" s="1"/>
      <c r="B653" s="1"/>
      <c r="C653" s="1"/>
      <c r="D653" s="1"/>
      <c r="E653" s="1"/>
      <c r="F653" s="1"/>
    </row>
    <row r="654" spans="1:6" ht="15.75" customHeight="1" x14ac:dyDescent="0.35">
      <c r="A654" s="1"/>
      <c r="B654" s="1"/>
      <c r="C654" s="1"/>
      <c r="D654" s="1"/>
      <c r="E654" s="1"/>
      <c r="F654" s="1"/>
    </row>
    <row r="655" spans="1:6" ht="15.75" customHeight="1" x14ac:dyDescent="0.35">
      <c r="A655" s="1"/>
      <c r="B655" s="1"/>
      <c r="C655" s="1"/>
      <c r="D655" s="1"/>
      <c r="E655" s="1"/>
      <c r="F655" s="1"/>
    </row>
    <row r="656" spans="1:6" ht="15.75" customHeight="1" x14ac:dyDescent="0.35">
      <c r="A656" s="1"/>
      <c r="B656" s="1"/>
      <c r="C656" s="1"/>
      <c r="D656" s="1"/>
      <c r="E656" s="1"/>
      <c r="F656" s="1"/>
    </row>
    <row r="657" spans="1:6" ht="15.75" customHeight="1" x14ac:dyDescent="0.35">
      <c r="A657" s="1"/>
      <c r="B657" s="1"/>
      <c r="C657" s="1"/>
      <c r="D657" s="1"/>
      <c r="E657" s="1"/>
      <c r="F657" s="1"/>
    </row>
    <row r="658" spans="1:6" ht="15.75" customHeight="1" x14ac:dyDescent="0.35">
      <c r="A658" s="1"/>
      <c r="B658" s="1"/>
      <c r="C658" s="1"/>
      <c r="D658" s="1"/>
      <c r="E658" s="1"/>
      <c r="F658" s="1"/>
    </row>
    <row r="659" spans="1:6" ht="15.75" customHeight="1" x14ac:dyDescent="0.35">
      <c r="A659" s="1"/>
      <c r="B659" s="1"/>
      <c r="C659" s="1"/>
      <c r="D659" s="1"/>
      <c r="E659" s="1"/>
      <c r="F659" s="1"/>
    </row>
    <row r="660" spans="1:6" ht="15.75" customHeight="1" x14ac:dyDescent="0.35">
      <c r="A660" s="1"/>
      <c r="B660" s="1"/>
      <c r="C660" s="1"/>
      <c r="D660" s="1"/>
      <c r="E660" s="1"/>
      <c r="F660" s="1"/>
    </row>
    <row r="661" spans="1:6" ht="15.75" customHeight="1" x14ac:dyDescent="0.35">
      <c r="A661" s="1"/>
      <c r="B661" s="1"/>
      <c r="C661" s="1"/>
      <c r="D661" s="1"/>
      <c r="E661" s="1"/>
      <c r="F661" s="1"/>
    </row>
    <row r="662" spans="1:6" ht="15.75" customHeight="1" x14ac:dyDescent="0.35">
      <c r="A662" s="1"/>
      <c r="B662" s="1"/>
      <c r="C662" s="1"/>
      <c r="D662" s="1"/>
      <c r="E662" s="1"/>
      <c r="F662" s="1"/>
    </row>
    <row r="663" spans="1:6" ht="15.75" customHeight="1" x14ac:dyDescent="0.35">
      <c r="A663" s="1"/>
      <c r="B663" s="1"/>
      <c r="C663" s="1"/>
      <c r="D663" s="1"/>
      <c r="E663" s="1"/>
      <c r="F663" s="1"/>
    </row>
    <row r="664" spans="1:6" ht="15.75" customHeight="1" x14ac:dyDescent="0.35">
      <c r="A664" s="1"/>
      <c r="B664" s="1"/>
      <c r="C664" s="1"/>
      <c r="D664" s="1"/>
      <c r="E664" s="1"/>
      <c r="F664" s="1"/>
    </row>
    <row r="665" spans="1:6" ht="15.75" customHeight="1" x14ac:dyDescent="0.35">
      <c r="A665" s="1"/>
      <c r="B665" s="1"/>
      <c r="C665" s="1"/>
      <c r="D665" s="1"/>
      <c r="E665" s="1"/>
      <c r="F665" s="1"/>
    </row>
    <row r="666" spans="1:6" ht="15.75" customHeight="1" x14ac:dyDescent="0.35">
      <c r="A666" s="1"/>
      <c r="B666" s="1"/>
      <c r="C666" s="1"/>
      <c r="D666" s="1"/>
      <c r="E666" s="1"/>
      <c r="F666" s="1"/>
    </row>
    <row r="667" spans="1:6" ht="15.75" customHeight="1" x14ac:dyDescent="0.35">
      <c r="A667" s="1"/>
      <c r="B667" s="1"/>
      <c r="C667" s="1"/>
      <c r="D667" s="1"/>
      <c r="E667" s="1"/>
      <c r="F667" s="1"/>
    </row>
    <row r="668" spans="1:6" ht="15.75" customHeight="1" x14ac:dyDescent="0.35">
      <c r="A668" s="1"/>
      <c r="B668" s="1"/>
      <c r="C668" s="1"/>
      <c r="D668" s="1"/>
      <c r="E668" s="1"/>
      <c r="F668" s="1"/>
    </row>
    <row r="669" spans="1:6" ht="15.75" customHeight="1" x14ac:dyDescent="0.35">
      <c r="A669" s="1"/>
      <c r="B669" s="1"/>
      <c r="C669" s="1"/>
      <c r="D669" s="1"/>
      <c r="E669" s="1"/>
      <c r="F669" s="1"/>
    </row>
    <row r="670" spans="1:6" ht="15.75" customHeight="1" x14ac:dyDescent="0.35">
      <c r="A670" s="1"/>
      <c r="B670" s="1"/>
      <c r="C670" s="1"/>
      <c r="D670" s="1"/>
      <c r="E670" s="1"/>
      <c r="F670" s="1"/>
    </row>
    <row r="671" spans="1:6" ht="15.75" customHeight="1" x14ac:dyDescent="0.35">
      <c r="A671" s="1"/>
      <c r="B671" s="1"/>
      <c r="C671" s="1"/>
      <c r="D671" s="1"/>
      <c r="E671" s="1"/>
      <c r="F671" s="1"/>
    </row>
    <row r="672" spans="1:6" ht="15.75" customHeight="1" x14ac:dyDescent="0.35">
      <c r="A672" s="1"/>
      <c r="B672" s="1"/>
      <c r="C672" s="1"/>
      <c r="D672" s="1"/>
      <c r="E672" s="1"/>
      <c r="F672" s="1"/>
    </row>
    <row r="673" spans="1:6" ht="15.75" customHeight="1" x14ac:dyDescent="0.35">
      <c r="A673" s="1"/>
      <c r="B673" s="1"/>
      <c r="C673" s="1"/>
      <c r="D673" s="1"/>
      <c r="E673" s="1"/>
      <c r="F673" s="1"/>
    </row>
    <row r="674" spans="1:6" ht="15.75" customHeight="1" x14ac:dyDescent="0.35">
      <c r="A674" s="1"/>
      <c r="B674" s="1"/>
      <c r="C674" s="1"/>
      <c r="D674" s="1"/>
      <c r="E674" s="1"/>
      <c r="F674" s="1"/>
    </row>
    <row r="675" spans="1:6" ht="15.75" customHeight="1" x14ac:dyDescent="0.35">
      <c r="A675" s="1"/>
      <c r="B675" s="1"/>
      <c r="C675" s="1"/>
      <c r="D675" s="1"/>
      <c r="E675" s="1"/>
      <c r="F675" s="1"/>
    </row>
    <row r="676" spans="1:6" ht="15.75" customHeight="1" x14ac:dyDescent="0.35">
      <c r="A676" s="1"/>
      <c r="B676" s="1"/>
      <c r="C676" s="1"/>
      <c r="D676" s="1"/>
      <c r="E676" s="1"/>
      <c r="F676" s="1"/>
    </row>
    <row r="677" spans="1:6" ht="15.75" customHeight="1" x14ac:dyDescent="0.35">
      <c r="A677" s="1"/>
      <c r="B677" s="1"/>
      <c r="C677" s="1"/>
      <c r="D677" s="1"/>
      <c r="E677" s="1"/>
      <c r="F677" s="1"/>
    </row>
    <row r="678" spans="1:6" ht="15.75" customHeight="1" x14ac:dyDescent="0.35">
      <c r="A678" s="1"/>
      <c r="B678" s="1"/>
      <c r="C678" s="1"/>
      <c r="D678" s="1"/>
      <c r="E678" s="1"/>
      <c r="F678" s="1"/>
    </row>
    <row r="679" spans="1:6" ht="15.75" customHeight="1" x14ac:dyDescent="0.35">
      <c r="A679" s="1"/>
      <c r="B679" s="1"/>
      <c r="C679" s="1"/>
      <c r="D679" s="1"/>
      <c r="E679" s="1"/>
      <c r="F679" s="1"/>
    </row>
    <row r="680" spans="1:6" ht="15.75" customHeight="1" x14ac:dyDescent="0.35">
      <c r="A680" s="1"/>
      <c r="B680" s="1"/>
      <c r="C680" s="1"/>
      <c r="D680" s="1"/>
      <c r="E680" s="1"/>
      <c r="F680" s="1"/>
    </row>
    <row r="681" spans="1:6" ht="15.75" customHeight="1" x14ac:dyDescent="0.35">
      <c r="A681" s="1"/>
      <c r="B681" s="1"/>
      <c r="C681" s="1"/>
      <c r="D681" s="1"/>
      <c r="E681" s="1"/>
      <c r="F681" s="1"/>
    </row>
    <row r="682" spans="1:6" ht="15.75" customHeight="1" x14ac:dyDescent="0.35">
      <c r="A682" s="1"/>
      <c r="B682" s="1"/>
      <c r="C682" s="1"/>
      <c r="D682" s="1"/>
      <c r="E682" s="1"/>
      <c r="F682" s="1"/>
    </row>
    <row r="683" spans="1:6" ht="15.75" customHeight="1" x14ac:dyDescent="0.35">
      <c r="A683" s="1"/>
      <c r="B683" s="1"/>
      <c r="C683" s="1"/>
      <c r="D683" s="1"/>
      <c r="E683" s="1"/>
      <c r="F683" s="1"/>
    </row>
    <row r="684" spans="1:6" ht="15.75" customHeight="1" x14ac:dyDescent="0.35">
      <c r="A684" s="1"/>
      <c r="B684" s="1"/>
      <c r="C684" s="1"/>
      <c r="D684" s="1"/>
      <c r="E684" s="1"/>
      <c r="F684" s="1"/>
    </row>
    <row r="685" spans="1:6" ht="15.75" customHeight="1" x14ac:dyDescent="0.35">
      <c r="A685" s="1"/>
      <c r="B685" s="1"/>
      <c r="C685" s="1"/>
      <c r="D685" s="1"/>
      <c r="E685" s="1"/>
      <c r="F685" s="1"/>
    </row>
    <row r="686" spans="1:6" ht="15.75" customHeight="1" x14ac:dyDescent="0.35">
      <c r="A686" s="1"/>
      <c r="B686" s="1"/>
      <c r="C686" s="1"/>
      <c r="D686" s="1"/>
      <c r="E686" s="1"/>
      <c r="F686" s="1"/>
    </row>
    <row r="687" spans="1:6" ht="15.75" customHeight="1" x14ac:dyDescent="0.35">
      <c r="A687" s="1"/>
      <c r="B687" s="1"/>
      <c r="C687" s="1"/>
      <c r="D687" s="1"/>
      <c r="E687" s="1"/>
      <c r="F687" s="1"/>
    </row>
    <row r="688" spans="1:6" ht="15.75" customHeight="1" x14ac:dyDescent="0.35">
      <c r="A688" s="1"/>
      <c r="B688" s="1"/>
      <c r="C688" s="1"/>
      <c r="D688" s="1"/>
      <c r="E688" s="1"/>
      <c r="F688" s="1"/>
    </row>
    <row r="689" spans="1:6" ht="15.75" customHeight="1" x14ac:dyDescent="0.35">
      <c r="A689" s="1"/>
      <c r="B689" s="1"/>
      <c r="C689" s="1"/>
      <c r="D689" s="1"/>
      <c r="E689" s="1"/>
      <c r="F689" s="1"/>
    </row>
    <row r="690" spans="1:6" ht="15.75" customHeight="1" x14ac:dyDescent="0.35">
      <c r="A690" s="1"/>
      <c r="B690" s="1"/>
      <c r="C690" s="1"/>
      <c r="D690" s="1"/>
      <c r="E690" s="1"/>
      <c r="F690" s="1"/>
    </row>
    <row r="691" spans="1:6" ht="15.75" customHeight="1" x14ac:dyDescent="0.35">
      <c r="A691" s="1"/>
      <c r="B691" s="1"/>
      <c r="C691" s="1"/>
      <c r="D691" s="1"/>
      <c r="E691" s="1"/>
      <c r="F691" s="1"/>
    </row>
    <row r="692" spans="1:6" ht="15.75" customHeight="1" x14ac:dyDescent="0.35">
      <c r="A692" s="1"/>
      <c r="B692" s="1"/>
      <c r="C692" s="1"/>
      <c r="D692" s="1"/>
      <c r="E692" s="1"/>
      <c r="F692" s="1"/>
    </row>
    <row r="693" spans="1:6" ht="15.75" customHeight="1" x14ac:dyDescent="0.35">
      <c r="A693" s="1"/>
      <c r="B693" s="1"/>
      <c r="C693" s="1"/>
      <c r="D693" s="1"/>
      <c r="E693" s="1"/>
      <c r="F693" s="1"/>
    </row>
    <row r="694" spans="1:6" ht="15.75" customHeight="1" x14ac:dyDescent="0.35">
      <c r="A694" s="1"/>
      <c r="B694" s="1"/>
      <c r="C694" s="1"/>
      <c r="D694" s="1"/>
      <c r="E694" s="1"/>
      <c r="F694" s="1"/>
    </row>
    <row r="695" spans="1:6" ht="15.75" customHeight="1" x14ac:dyDescent="0.35">
      <c r="A695" s="1"/>
      <c r="B695" s="1"/>
      <c r="C695" s="1"/>
      <c r="D695" s="1"/>
      <c r="E695" s="1"/>
      <c r="F695" s="1"/>
    </row>
    <row r="696" spans="1:6" ht="15.75" customHeight="1" x14ac:dyDescent="0.35">
      <c r="A696" s="1"/>
      <c r="B696" s="1"/>
      <c r="C696" s="1"/>
      <c r="D696" s="1"/>
      <c r="E696" s="1"/>
      <c r="F696" s="1"/>
    </row>
    <row r="697" spans="1:6" ht="15.75" customHeight="1" x14ac:dyDescent="0.35">
      <c r="A697" s="1"/>
      <c r="B697" s="1"/>
      <c r="C697" s="1"/>
      <c r="D697" s="1"/>
      <c r="E697" s="1"/>
      <c r="F697" s="1"/>
    </row>
    <row r="698" spans="1:6" ht="15.75" customHeight="1" x14ac:dyDescent="0.35">
      <c r="A698" s="1"/>
      <c r="B698" s="1"/>
      <c r="C698" s="1"/>
      <c r="D698" s="1"/>
      <c r="E698" s="1"/>
      <c r="F698" s="1"/>
    </row>
    <row r="699" spans="1:6" ht="15.75" customHeight="1" x14ac:dyDescent="0.35">
      <c r="A699" s="1"/>
      <c r="B699" s="1"/>
      <c r="C699" s="1"/>
      <c r="D699" s="1"/>
      <c r="E699" s="1"/>
      <c r="F699" s="1"/>
    </row>
    <row r="700" spans="1:6" ht="15.75" customHeight="1" x14ac:dyDescent="0.35">
      <c r="A700" s="1"/>
      <c r="B700" s="1"/>
      <c r="C700" s="1"/>
      <c r="D700" s="1"/>
      <c r="E700" s="1"/>
      <c r="F700" s="1"/>
    </row>
    <row r="701" spans="1:6" ht="15.75" customHeight="1" x14ac:dyDescent="0.35">
      <c r="A701" s="1"/>
      <c r="B701" s="1"/>
      <c r="C701" s="1"/>
      <c r="D701" s="1"/>
      <c r="E701" s="1"/>
      <c r="F701" s="1"/>
    </row>
    <row r="702" spans="1:6" ht="15.75" customHeight="1" x14ac:dyDescent="0.35">
      <c r="A702" s="1"/>
      <c r="B702" s="1"/>
      <c r="C702" s="1"/>
      <c r="D702" s="1"/>
      <c r="E702" s="1"/>
      <c r="F702" s="1"/>
    </row>
    <row r="703" spans="1:6" ht="15.75" customHeight="1" x14ac:dyDescent="0.35">
      <c r="A703" s="1"/>
      <c r="B703" s="1"/>
      <c r="C703" s="1"/>
      <c r="D703" s="1"/>
      <c r="E703" s="1"/>
      <c r="F703" s="1"/>
    </row>
    <row r="704" spans="1:6" ht="15.75" customHeight="1" x14ac:dyDescent="0.35">
      <c r="A704" s="1"/>
      <c r="B704" s="1"/>
      <c r="C704" s="1"/>
      <c r="D704" s="1"/>
      <c r="E704" s="1"/>
      <c r="F704" s="1"/>
    </row>
    <row r="705" spans="1:6" ht="15.75" customHeight="1" x14ac:dyDescent="0.35">
      <c r="A705" s="1"/>
      <c r="B705" s="1"/>
      <c r="C705" s="1"/>
      <c r="D705" s="1"/>
      <c r="E705" s="1"/>
      <c r="F705" s="1"/>
    </row>
    <row r="706" spans="1:6" ht="15.75" customHeight="1" x14ac:dyDescent="0.35">
      <c r="A706" s="1"/>
      <c r="B706" s="1"/>
      <c r="C706" s="1"/>
      <c r="D706" s="1"/>
      <c r="E706" s="1"/>
      <c r="F706" s="1"/>
    </row>
    <row r="707" spans="1:6" ht="15.75" customHeight="1" x14ac:dyDescent="0.35">
      <c r="A707" s="1"/>
      <c r="B707" s="1"/>
      <c r="C707" s="1"/>
      <c r="D707" s="1"/>
      <c r="E707" s="1"/>
      <c r="F707" s="1"/>
    </row>
    <row r="708" spans="1:6" ht="15.75" customHeight="1" x14ac:dyDescent="0.35">
      <c r="A708" s="1"/>
      <c r="B708" s="1"/>
      <c r="C708" s="1"/>
      <c r="D708" s="1"/>
      <c r="E708" s="1"/>
      <c r="F708" s="1"/>
    </row>
    <row r="709" spans="1:6" ht="15.75" customHeight="1" x14ac:dyDescent="0.35">
      <c r="A709" s="1"/>
      <c r="B709" s="1"/>
      <c r="C709" s="1"/>
      <c r="D709" s="1"/>
      <c r="E709" s="1"/>
      <c r="F709" s="1"/>
    </row>
    <row r="710" spans="1:6" ht="15.75" customHeight="1" x14ac:dyDescent="0.35">
      <c r="A710" s="1"/>
      <c r="B710" s="1"/>
      <c r="C710" s="1"/>
      <c r="D710" s="1"/>
      <c r="E710" s="1"/>
      <c r="F710" s="1"/>
    </row>
    <row r="711" spans="1:6" ht="15.75" customHeight="1" x14ac:dyDescent="0.35">
      <c r="A711" s="1"/>
      <c r="B711" s="1"/>
      <c r="C711" s="1"/>
      <c r="D711" s="1"/>
      <c r="E711" s="1"/>
      <c r="F711" s="1"/>
    </row>
    <row r="712" spans="1:6" ht="15.75" customHeight="1" x14ac:dyDescent="0.35">
      <c r="A712" s="1"/>
      <c r="B712" s="1"/>
      <c r="C712" s="1"/>
      <c r="D712" s="1"/>
      <c r="E712" s="1"/>
      <c r="F712" s="1"/>
    </row>
    <row r="713" spans="1:6" ht="15.75" customHeight="1" x14ac:dyDescent="0.35">
      <c r="A713" s="1"/>
      <c r="B713" s="1"/>
      <c r="C713" s="1"/>
      <c r="D713" s="1"/>
      <c r="E713" s="1"/>
      <c r="F713" s="1"/>
    </row>
    <row r="714" spans="1:6" ht="15.75" customHeight="1" x14ac:dyDescent="0.35">
      <c r="A714" s="1"/>
      <c r="B714" s="1"/>
      <c r="C714" s="1"/>
      <c r="D714" s="1"/>
      <c r="E714" s="1"/>
      <c r="F714" s="1"/>
    </row>
    <row r="715" spans="1:6" ht="15.75" customHeight="1" x14ac:dyDescent="0.35">
      <c r="A715" s="1"/>
      <c r="B715" s="1"/>
      <c r="C715" s="1"/>
      <c r="D715" s="1"/>
      <c r="E715" s="1"/>
      <c r="F715" s="1"/>
    </row>
    <row r="716" spans="1:6" ht="15.75" customHeight="1" x14ac:dyDescent="0.35">
      <c r="A716" s="1"/>
      <c r="B716" s="1"/>
      <c r="C716" s="1"/>
      <c r="D716" s="1"/>
      <c r="E716" s="1"/>
      <c r="F716" s="1"/>
    </row>
    <row r="717" spans="1:6" ht="15.75" customHeight="1" x14ac:dyDescent="0.35">
      <c r="A717" s="1"/>
      <c r="B717" s="1"/>
      <c r="C717" s="1"/>
      <c r="D717" s="1"/>
      <c r="E717" s="1"/>
      <c r="F717" s="1"/>
    </row>
    <row r="718" spans="1:6" ht="15.75" customHeight="1" x14ac:dyDescent="0.35">
      <c r="A718" s="1"/>
      <c r="B718" s="1"/>
      <c r="C718" s="1"/>
      <c r="D718" s="1"/>
      <c r="E718" s="1"/>
      <c r="F718" s="1"/>
    </row>
    <row r="719" spans="1:6" ht="15.75" customHeight="1" x14ac:dyDescent="0.35">
      <c r="A719" s="1"/>
      <c r="B719" s="1"/>
      <c r="C719" s="1"/>
      <c r="D719" s="1"/>
      <c r="E719" s="1"/>
      <c r="F719" s="1"/>
    </row>
    <row r="720" spans="1:6" ht="15.75" customHeight="1" x14ac:dyDescent="0.35">
      <c r="A720" s="1"/>
      <c r="B720" s="1"/>
      <c r="C720" s="1"/>
      <c r="D720" s="1"/>
      <c r="E720" s="1"/>
      <c r="F720" s="1"/>
    </row>
    <row r="721" spans="1:6" ht="15.75" customHeight="1" x14ac:dyDescent="0.35">
      <c r="A721" s="1"/>
      <c r="B721" s="1"/>
      <c r="C721" s="1"/>
      <c r="D721" s="1"/>
      <c r="E721" s="1"/>
      <c r="F721" s="1"/>
    </row>
    <row r="722" spans="1:6" ht="15.75" customHeight="1" x14ac:dyDescent="0.35">
      <c r="A722" s="1"/>
      <c r="B722" s="1"/>
      <c r="C722" s="1"/>
      <c r="D722" s="1"/>
      <c r="E722" s="1"/>
      <c r="F722" s="1"/>
    </row>
    <row r="723" spans="1:6" ht="15.75" customHeight="1" x14ac:dyDescent="0.35">
      <c r="A723" s="1"/>
      <c r="B723" s="1"/>
      <c r="C723" s="1"/>
      <c r="D723" s="1"/>
      <c r="E723" s="1"/>
      <c r="F723" s="1"/>
    </row>
    <row r="724" spans="1:6" ht="15.75" customHeight="1" x14ac:dyDescent="0.35">
      <c r="A724" s="1"/>
      <c r="B724" s="1"/>
      <c r="C724" s="1"/>
      <c r="D724" s="1"/>
      <c r="E724" s="1"/>
      <c r="F724" s="1"/>
    </row>
    <row r="725" spans="1:6" ht="15.75" customHeight="1" x14ac:dyDescent="0.35">
      <c r="A725" s="1"/>
      <c r="B725" s="1"/>
      <c r="C725" s="1"/>
      <c r="D725" s="1"/>
      <c r="E725" s="1"/>
      <c r="F725" s="1"/>
    </row>
    <row r="726" spans="1:6" ht="15.75" customHeight="1" x14ac:dyDescent="0.35">
      <c r="A726" s="1"/>
      <c r="B726" s="1"/>
      <c r="C726" s="1"/>
      <c r="D726" s="1"/>
      <c r="E726" s="1"/>
      <c r="F726" s="1"/>
    </row>
    <row r="727" spans="1:6" ht="15.75" customHeight="1" x14ac:dyDescent="0.35">
      <c r="A727" s="1"/>
      <c r="B727" s="1"/>
      <c r="C727" s="1"/>
      <c r="D727" s="1"/>
      <c r="E727" s="1"/>
      <c r="F727" s="1"/>
    </row>
    <row r="728" spans="1:6" ht="15.75" customHeight="1" x14ac:dyDescent="0.35">
      <c r="A728" s="1"/>
      <c r="B728" s="1"/>
      <c r="C728" s="1"/>
      <c r="D728" s="1"/>
      <c r="E728" s="1"/>
      <c r="F728" s="1"/>
    </row>
    <row r="729" spans="1:6" ht="15.75" customHeight="1" x14ac:dyDescent="0.35">
      <c r="A729" s="1"/>
      <c r="B729" s="1"/>
      <c r="C729" s="1"/>
      <c r="D729" s="1"/>
      <c r="E729" s="1"/>
      <c r="F729" s="1"/>
    </row>
    <row r="730" spans="1:6" ht="15.75" customHeight="1" x14ac:dyDescent="0.35">
      <c r="A730" s="1"/>
      <c r="B730" s="1"/>
      <c r="C730" s="1"/>
      <c r="D730" s="1"/>
      <c r="E730" s="1"/>
      <c r="F730" s="1"/>
    </row>
    <row r="731" spans="1:6" ht="15.75" customHeight="1" x14ac:dyDescent="0.35">
      <c r="A731" s="1"/>
      <c r="B731" s="1"/>
      <c r="C731" s="1"/>
      <c r="D731" s="1"/>
      <c r="E731" s="1"/>
      <c r="F731" s="1"/>
    </row>
    <row r="732" spans="1:6" ht="15.75" customHeight="1" x14ac:dyDescent="0.35">
      <c r="A732" s="1"/>
      <c r="B732" s="1"/>
      <c r="C732" s="1"/>
      <c r="D732" s="1"/>
      <c r="E732" s="1"/>
      <c r="F732" s="1"/>
    </row>
    <row r="733" spans="1:6" ht="15.75" customHeight="1" x14ac:dyDescent="0.35">
      <c r="A733" s="1"/>
      <c r="B733" s="1"/>
      <c r="C733" s="1"/>
      <c r="D733" s="1"/>
      <c r="E733" s="1"/>
      <c r="F733" s="1"/>
    </row>
    <row r="734" spans="1:6" ht="15.75" customHeight="1" x14ac:dyDescent="0.35">
      <c r="A734" s="1"/>
      <c r="B734" s="1"/>
      <c r="C734" s="1"/>
      <c r="D734" s="1"/>
      <c r="E734" s="1"/>
      <c r="F734" s="1"/>
    </row>
    <row r="735" spans="1:6" ht="15.75" customHeight="1" x14ac:dyDescent="0.35">
      <c r="A735" s="1"/>
      <c r="B735" s="1"/>
      <c r="C735" s="1"/>
      <c r="D735" s="1"/>
      <c r="E735" s="1"/>
      <c r="F735" s="1"/>
    </row>
    <row r="736" spans="1:6" ht="15.75" customHeight="1" x14ac:dyDescent="0.35">
      <c r="A736" s="1"/>
      <c r="B736" s="1"/>
      <c r="C736" s="1"/>
      <c r="D736" s="1"/>
      <c r="E736" s="1"/>
      <c r="F736" s="1"/>
    </row>
    <row r="737" spans="1:6" ht="15.75" customHeight="1" x14ac:dyDescent="0.35">
      <c r="A737" s="1"/>
      <c r="B737" s="1"/>
      <c r="C737" s="1"/>
      <c r="D737" s="1"/>
      <c r="E737" s="1"/>
      <c r="F737" s="1"/>
    </row>
    <row r="738" spans="1:6" ht="15.75" customHeight="1" x14ac:dyDescent="0.35">
      <c r="A738" s="1"/>
      <c r="B738" s="1"/>
      <c r="C738" s="1"/>
      <c r="D738" s="1"/>
      <c r="E738" s="1"/>
      <c r="F738" s="1"/>
    </row>
    <row r="739" spans="1:6" ht="15.75" customHeight="1" x14ac:dyDescent="0.35">
      <c r="A739" s="1"/>
      <c r="B739" s="1"/>
      <c r="C739" s="1"/>
      <c r="D739" s="1"/>
      <c r="E739" s="1"/>
      <c r="F739" s="1"/>
    </row>
    <row r="740" spans="1:6" ht="15.75" customHeight="1" x14ac:dyDescent="0.35">
      <c r="A740" s="1"/>
      <c r="B740" s="1"/>
      <c r="C740" s="1"/>
      <c r="D740" s="1"/>
      <c r="E740" s="1"/>
      <c r="F740" s="1"/>
    </row>
    <row r="741" spans="1:6" ht="15.75" customHeight="1" x14ac:dyDescent="0.35">
      <c r="A741" s="1"/>
      <c r="B741" s="1"/>
      <c r="C741" s="1"/>
      <c r="D741" s="1"/>
      <c r="E741" s="1"/>
      <c r="F741" s="1"/>
    </row>
    <row r="742" spans="1:6" ht="15.75" customHeight="1" x14ac:dyDescent="0.35">
      <c r="A742" s="1"/>
      <c r="B742" s="1"/>
      <c r="C742" s="1"/>
      <c r="D742" s="1"/>
      <c r="E742" s="1"/>
      <c r="F742" s="1"/>
    </row>
    <row r="743" spans="1:6" ht="15.75" customHeight="1" x14ac:dyDescent="0.35">
      <c r="A743" s="1"/>
      <c r="B743" s="1"/>
      <c r="C743" s="1"/>
      <c r="D743" s="1"/>
      <c r="E743" s="1"/>
      <c r="F743" s="1"/>
    </row>
    <row r="744" spans="1:6" ht="15.75" customHeight="1" x14ac:dyDescent="0.35">
      <c r="A744" s="1"/>
      <c r="B744" s="1"/>
      <c r="C744" s="1"/>
      <c r="D744" s="1"/>
      <c r="E744" s="1"/>
      <c r="F744" s="1"/>
    </row>
    <row r="745" spans="1:6" ht="15.75" customHeight="1" x14ac:dyDescent="0.35">
      <c r="A745" s="1"/>
      <c r="B745" s="1"/>
      <c r="C745" s="1"/>
      <c r="D745" s="1"/>
      <c r="E745" s="1"/>
      <c r="F745" s="1"/>
    </row>
    <row r="746" spans="1:6" ht="15.75" customHeight="1" x14ac:dyDescent="0.35">
      <c r="A746" s="1"/>
      <c r="B746" s="1"/>
      <c r="C746" s="1"/>
      <c r="D746" s="1"/>
      <c r="E746" s="1"/>
      <c r="F746" s="1"/>
    </row>
    <row r="747" spans="1:6" ht="15.75" customHeight="1" x14ac:dyDescent="0.35">
      <c r="A747" s="1"/>
      <c r="B747" s="1"/>
      <c r="C747" s="1"/>
      <c r="D747" s="1"/>
      <c r="E747" s="1"/>
      <c r="F747" s="1"/>
    </row>
    <row r="748" spans="1:6" ht="15.75" customHeight="1" x14ac:dyDescent="0.35">
      <c r="A748" s="1"/>
      <c r="B748" s="1"/>
      <c r="C748" s="1"/>
      <c r="D748" s="1"/>
      <c r="E748" s="1"/>
      <c r="F748" s="1"/>
    </row>
    <row r="749" spans="1:6" ht="15.75" customHeight="1" x14ac:dyDescent="0.35">
      <c r="A749" s="1"/>
      <c r="B749" s="1"/>
      <c r="C749" s="1"/>
      <c r="D749" s="1"/>
      <c r="E749" s="1"/>
      <c r="F749" s="1"/>
    </row>
    <row r="750" spans="1:6" ht="15.75" customHeight="1" x14ac:dyDescent="0.35">
      <c r="A750" s="1"/>
      <c r="B750" s="1"/>
      <c r="C750" s="1"/>
      <c r="D750" s="1"/>
      <c r="E750" s="1"/>
      <c r="F750" s="1"/>
    </row>
    <row r="751" spans="1:6" ht="15.75" customHeight="1" x14ac:dyDescent="0.35">
      <c r="A751" s="1"/>
      <c r="B751" s="1"/>
      <c r="C751" s="1"/>
      <c r="D751" s="1"/>
      <c r="E751" s="1"/>
      <c r="F751" s="1"/>
    </row>
    <row r="752" spans="1:6" ht="15.75" customHeight="1" x14ac:dyDescent="0.35">
      <c r="A752" s="1"/>
      <c r="B752" s="1"/>
      <c r="C752" s="1"/>
      <c r="D752" s="1"/>
      <c r="E752" s="1"/>
      <c r="F752" s="1"/>
    </row>
    <row r="753" spans="1:6" ht="15.75" customHeight="1" x14ac:dyDescent="0.35">
      <c r="A753" s="1"/>
      <c r="B753" s="1"/>
      <c r="C753" s="1"/>
      <c r="D753" s="1"/>
      <c r="E753" s="1"/>
      <c r="F753" s="1"/>
    </row>
    <row r="754" spans="1:6" ht="15.75" customHeight="1" x14ac:dyDescent="0.35">
      <c r="A754" s="1"/>
      <c r="B754" s="1"/>
      <c r="C754" s="1"/>
      <c r="D754" s="1"/>
      <c r="E754" s="1"/>
      <c r="F754" s="1"/>
    </row>
    <row r="755" spans="1:6" ht="15.75" customHeight="1" x14ac:dyDescent="0.35">
      <c r="A755" s="1"/>
      <c r="B755" s="1"/>
      <c r="C755" s="1"/>
      <c r="D755" s="1"/>
      <c r="E755" s="1"/>
      <c r="F755" s="1"/>
    </row>
    <row r="756" spans="1:6" ht="15.75" customHeight="1" x14ac:dyDescent="0.35">
      <c r="A756" s="1"/>
      <c r="B756" s="1"/>
      <c r="C756" s="1"/>
      <c r="D756" s="1"/>
      <c r="E756" s="1"/>
      <c r="F756" s="1"/>
    </row>
    <row r="757" spans="1:6" ht="15.75" customHeight="1" x14ac:dyDescent="0.35">
      <c r="A757" s="1"/>
      <c r="B757" s="1"/>
      <c r="C757" s="1"/>
      <c r="D757" s="1"/>
      <c r="E757" s="1"/>
      <c r="F757" s="1"/>
    </row>
    <row r="758" spans="1:6" ht="15.75" customHeight="1" x14ac:dyDescent="0.35">
      <c r="A758" s="1"/>
      <c r="B758" s="1"/>
      <c r="C758" s="1"/>
      <c r="D758" s="1"/>
      <c r="E758" s="1"/>
      <c r="F758" s="1"/>
    </row>
    <row r="759" spans="1:6" ht="15.75" customHeight="1" x14ac:dyDescent="0.35">
      <c r="A759" s="1"/>
      <c r="B759" s="1"/>
      <c r="C759" s="1"/>
      <c r="D759" s="1"/>
      <c r="E759" s="1"/>
      <c r="F759" s="1"/>
    </row>
    <row r="760" spans="1:6" ht="15.75" customHeight="1" x14ac:dyDescent="0.35">
      <c r="A760" s="1"/>
      <c r="B760" s="1"/>
      <c r="C760" s="1"/>
      <c r="D760" s="1"/>
      <c r="E760" s="1"/>
      <c r="F760" s="1"/>
    </row>
    <row r="761" spans="1:6" ht="15.75" customHeight="1" x14ac:dyDescent="0.35">
      <c r="A761" s="1"/>
      <c r="B761" s="1"/>
      <c r="C761" s="1"/>
      <c r="D761" s="1"/>
      <c r="E761" s="1"/>
      <c r="F761" s="1"/>
    </row>
    <row r="762" spans="1:6" ht="15.75" customHeight="1" x14ac:dyDescent="0.35">
      <c r="A762" s="1"/>
      <c r="B762" s="1"/>
      <c r="C762" s="1"/>
      <c r="D762" s="1"/>
      <c r="E762" s="1"/>
      <c r="F762" s="1"/>
    </row>
    <row r="763" spans="1:6" ht="15.75" customHeight="1" x14ac:dyDescent="0.35">
      <c r="A763" s="1"/>
      <c r="B763" s="1"/>
      <c r="C763" s="1"/>
      <c r="D763" s="1"/>
      <c r="E763" s="1"/>
      <c r="F763" s="1"/>
    </row>
    <row r="764" spans="1:6" ht="15.75" customHeight="1" x14ac:dyDescent="0.35">
      <c r="A764" s="1"/>
      <c r="B764" s="1"/>
      <c r="C764" s="1"/>
      <c r="D764" s="1"/>
      <c r="E764" s="1"/>
      <c r="F764" s="1"/>
    </row>
    <row r="765" spans="1:6" ht="15.75" customHeight="1" x14ac:dyDescent="0.35">
      <c r="A765" s="1"/>
      <c r="B765" s="1"/>
      <c r="C765" s="1"/>
      <c r="D765" s="1"/>
      <c r="E765" s="1"/>
      <c r="F765" s="1"/>
    </row>
    <row r="766" spans="1:6" ht="15.75" customHeight="1" x14ac:dyDescent="0.35">
      <c r="A766" s="1"/>
      <c r="B766" s="1"/>
      <c r="C766" s="1"/>
      <c r="D766" s="1"/>
      <c r="E766" s="1"/>
      <c r="F766" s="1"/>
    </row>
    <row r="767" spans="1:6" ht="15.75" customHeight="1" x14ac:dyDescent="0.35">
      <c r="A767" s="1"/>
      <c r="B767" s="1"/>
      <c r="C767" s="1"/>
      <c r="D767" s="1"/>
      <c r="E767" s="1"/>
      <c r="F767" s="1"/>
    </row>
    <row r="768" spans="1:6" ht="15.75" customHeight="1" x14ac:dyDescent="0.35">
      <c r="A768" s="1"/>
      <c r="B768" s="1"/>
      <c r="C768" s="1"/>
      <c r="D768" s="1"/>
      <c r="E768" s="1"/>
      <c r="F768" s="1"/>
    </row>
    <row r="769" spans="1:6" ht="15.75" customHeight="1" x14ac:dyDescent="0.35">
      <c r="A769" s="1"/>
      <c r="B769" s="1"/>
      <c r="C769" s="1"/>
      <c r="D769" s="1"/>
      <c r="E769" s="1"/>
      <c r="F769" s="1"/>
    </row>
    <row r="770" spans="1:6" ht="15.75" customHeight="1" x14ac:dyDescent="0.35">
      <c r="A770" s="1"/>
      <c r="B770" s="1"/>
      <c r="C770" s="1"/>
      <c r="D770" s="1"/>
      <c r="E770" s="1"/>
      <c r="F770" s="1"/>
    </row>
    <row r="771" spans="1:6" ht="15.75" customHeight="1" x14ac:dyDescent="0.35">
      <c r="A771" s="1"/>
      <c r="B771" s="1"/>
      <c r="C771" s="1"/>
      <c r="D771" s="1"/>
      <c r="E771" s="1"/>
      <c r="F771" s="1"/>
    </row>
    <row r="772" spans="1:6" ht="15.75" customHeight="1" x14ac:dyDescent="0.35">
      <c r="A772" s="1"/>
      <c r="B772" s="1"/>
      <c r="C772" s="1"/>
      <c r="D772" s="1"/>
      <c r="E772" s="1"/>
      <c r="F772" s="1"/>
    </row>
    <row r="773" spans="1:6" ht="15.75" customHeight="1" x14ac:dyDescent="0.35">
      <c r="A773" s="1"/>
      <c r="B773" s="1"/>
      <c r="C773" s="1"/>
      <c r="D773" s="1"/>
      <c r="E773" s="1"/>
      <c r="F773" s="1"/>
    </row>
    <row r="774" spans="1:6" ht="15.75" customHeight="1" x14ac:dyDescent="0.35">
      <c r="A774" s="1"/>
      <c r="B774" s="1"/>
      <c r="C774" s="1"/>
      <c r="D774" s="1"/>
      <c r="E774" s="1"/>
      <c r="F774" s="1"/>
    </row>
    <row r="775" spans="1:6" ht="15.75" customHeight="1" x14ac:dyDescent="0.35">
      <c r="A775" s="1"/>
      <c r="B775" s="1"/>
      <c r="C775" s="1"/>
      <c r="D775" s="1"/>
      <c r="E775" s="1"/>
      <c r="F775" s="1"/>
    </row>
    <row r="776" spans="1:6" ht="15.75" customHeight="1" x14ac:dyDescent="0.35">
      <c r="A776" s="1"/>
      <c r="B776" s="1"/>
      <c r="C776" s="1"/>
      <c r="D776" s="1"/>
      <c r="E776" s="1"/>
      <c r="F776" s="1"/>
    </row>
    <row r="777" spans="1:6" ht="15.75" customHeight="1" x14ac:dyDescent="0.35">
      <c r="A777" s="1"/>
      <c r="B777" s="1"/>
      <c r="C777" s="1"/>
      <c r="D777" s="1"/>
      <c r="E777" s="1"/>
      <c r="F777" s="1"/>
    </row>
    <row r="778" spans="1:6" ht="15.75" customHeight="1" x14ac:dyDescent="0.35">
      <c r="A778" s="1"/>
      <c r="B778" s="1"/>
      <c r="C778" s="1"/>
      <c r="D778" s="1"/>
      <c r="E778" s="1"/>
      <c r="F778" s="1"/>
    </row>
    <row r="779" spans="1:6" ht="15.75" customHeight="1" x14ac:dyDescent="0.35">
      <c r="A779" s="1"/>
      <c r="B779" s="1"/>
      <c r="C779" s="1"/>
      <c r="D779" s="1"/>
      <c r="E779" s="1"/>
      <c r="F779" s="1"/>
    </row>
    <row r="780" spans="1:6" ht="15.75" customHeight="1" x14ac:dyDescent="0.35">
      <c r="A780" s="1"/>
      <c r="B780" s="1"/>
      <c r="C780" s="1"/>
      <c r="D780" s="1"/>
      <c r="E780" s="1"/>
      <c r="F780" s="1"/>
    </row>
    <row r="781" spans="1:6" ht="15.75" customHeight="1" x14ac:dyDescent="0.35">
      <c r="A781" s="1"/>
      <c r="B781" s="1"/>
      <c r="C781" s="1"/>
      <c r="D781" s="1"/>
      <c r="E781" s="1"/>
      <c r="F781" s="1"/>
    </row>
    <row r="782" spans="1:6" ht="15.75" customHeight="1" x14ac:dyDescent="0.35">
      <c r="A782" s="1"/>
      <c r="B782" s="1"/>
      <c r="C782" s="1"/>
      <c r="D782" s="1"/>
      <c r="E782" s="1"/>
      <c r="F782" s="1"/>
    </row>
    <row r="783" spans="1:6" ht="15.75" customHeight="1" x14ac:dyDescent="0.35">
      <c r="A783" s="1"/>
      <c r="B783" s="1"/>
      <c r="C783" s="1"/>
      <c r="D783" s="1"/>
      <c r="E783" s="1"/>
      <c r="F783" s="1"/>
    </row>
    <row r="784" spans="1:6" ht="15.75" customHeight="1" x14ac:dyDescent="0.35">
      <c r="A784" s="1"/>
      <c r="B784" s="1"/>
      <c r="C784" s="1"/>
      <c r="D784" s="1"/>
      <c r="E784" s="1"/>
      <c r="F784" s="1"/>
    </row>
    <row r="785" spans="1:6" ht="15.75" customHeight="1" x14ac:dyDescent="0.35">
      <c r="A785" s="1"/>
      <c r="B785" s="1"/>
      <c r="C785" s="1"/>
      <c r="D785" s="1"/>
      <c r="E785" s="1"/>
      <c r="F785" s="1"/>
    </row>
    <row r="786" spans="1:6" ht="15.75" customHeight="1" x14ac:dyDescent="0.35">
      <c r="A786" s="1"/>
      <c r="B786" s="1"/>
      <c r="C786" s="1"/>
      <c r="D786" s="1"/>
      <c r="E786" s="1"/>
      <c r="F786" s="1"/>
    </row>
    <row r="787" spans="1:6" ht="15.75" customHeight="1" x14ac:dyDescent="0.35">
      <c r="A787" s="1"/>
      <c r="B787" s="1"/>
      <c r="C787" s="1"/>
      <c r="D787" s="1"/>
      <c r="E787" s="1"/>
      <c r="F787" s="1"/>
    </row>
    <row r="788" spans="1:6" ht="15.75" customHeight="1" x14ac:dyDescent="0.35">
      <c r="A788" s="1"/>
      <c r="B788" s="1"/>
      <c r="C788" s="1"/>
      <c r="D788" s="1"/>
      <c r="E788" s="1"/>
      <c r="F788" s="1"/>
    </row>
    <row r="789" spans="1:6" ht="15.75" customHeight="1" x14ac:dyDescent="0.35">
      <c r="A789" s="1"/>
      <c r="B789" s="1"/>
      <c r="C789" s="1"/>
      <c r="D789" s="1"/>
      <c r="E789" s="1"/>
      <c r="F789" s="1"/>
    </row>
    <row r="790" spans="1:6" ht="15.75" customHeight="1" x14ac:dyDescent="0.35">
      <c r="A790" s="1"/>
      <c r="B790" s="1"/>
      <c r="C790" s="1"/>
      <c r="D790" s="1"/>
      <c r="E790" s="1"/>
      <c r="F790" s="1"/>
    </row>
    <row r="791" spans="1:6" ht="15.75" customHeight="1" x14ac:dyDescent="0.35">
      <c r="A791" s="1"/>
      <c r="B791" s="1"/>
      <c r="C791" s="1"/>
      <c r="D791" s="1"/>
      <c r="E791" s="1"/>
      <c r="F791" s="1"/>
    </row>
    <row r="792" spans="1:6" ht="15.75" customHeight="1" x14ac:dyDescent="0.35">
      <c r="A792" s="1"/>
      <c r="B792" s="1"/>
      <c r="C792" s="1"/>
      <c r="D792" s="1"/>
      <c r="E792" s="1"/>
      <c r="F792" s="1"/>
    </row>
    <row r="793" spans="1:6" ht="15.75" customHeight="1" x14ac:dyDescent="0.35">
      <c r="A793" s="1"/>
      <c r="B793" s="1"/>
      <c r="C793" s="1"/>
      <c r="D793" s="1"/>
      <c r="E793" s="1"/>
      <c r="F793" s="1"/>
    </row>
    <row r="794" spans="1:6" ht="15.75" customHeight="1" x14ac:dyDescent="0.35">
      <c r="A794" s="1"/>
      <c r="B794" s="1"/>
      <c r="C794" s="1"/>
      <c r="D794" s="1"/>
      <c r="E794" s="1"/>
      <c r="F794" s="1"/>
    </row>
    <row r="795" spans="1:6" ht="15.75" customHeight="1" x14ac:dyDescent="0.35">
      <c r="A795" s="1"/>
      <c r="B795" s="1"/>
      <c r="C795" s="1"/>
      <c r="D795" s="1"/>
      <c r="E795" s="1"/>
      <c r="F795" s="1"/>
    </row>
    <row r="796" spans="1:6" ht="15.75" customHeight="1" x14ac:dyDescent="0.35">
      <c r="A796" s="1"/>
      <c r="B796" s="1"/>
      <c r="C796" s="1"/>
      <c r="D796" s="1"/>
      <c r="E796" s="1"/>
      <c r="F796" s="1"/>
    </row>
    <row r="797" spans="1:6" ht="15.75" customHeight="1" x14ac:dyDescent="0.35">
      <c r="A797" s="1"/>
      <c r="B797" s="1"/>
      <c r="C797" s="1"/>
      <c r="D797" s="1"/>
      <c r="E797" s="1"/>
      <c r="F797" s="1"/>
    </row>
    <row r="798" spans="1:6" ht="15.75" customHeight="1" x14ac:dyDescent="0.35">
      <c r="A798" s="1"/>
      <c r="B798" s="1"/>
      <c r="C798" s="1"/>
      <c r="D798" s="1"/>
      <c r="E798" s="1"/>
      <c r="F798" s="1"/>
    </row>
    <row r="799" spans="1:6" ht="15.75" customHeight="1" x14ac:dyDescent="0.35">
      <c r="A799" s="1"/>
      <c r="B799" s="1"/>
      <c r="C799" s="1"/>
      <c r="D799" s="1"/>
      <c r="E799" s="1"/>
      <c r="F799" s="1"/>
    </row>
    <row r="800" spans="1:6" ht="15.75" customHeight="1" x14ac:dyDescent="0.35">
      <c r="A800" s="1"/>
      <c r="B800" s="1"/>
      <c r="C800" s="1"/>
      <c r="D800" s="1"/>
      <c r="E800" s="1"/>
      <c r="F800" s="1"/>
    </row>
    <row r="801" spans="1:6" ht="15.75" customHeight="1" x14ac:dyDescent="0.35">
      <c r="A801" s="1"/>
      <c r="B801" s="1"/>
      <c r="C801" s="1"/>
      <c r="D801" s="1"/>
      <c r="E801" s="1"/>
      <c r="F801" s="1"/>
    </row>
    <row r="802" spans="1:6" ht="15.75" customHeight="1" x14ac:dyDescent="0.35">
      <c r="A802" s="1"/>
      <c r="B802" s="1"/>
      <c r="C802" s="1"/>
      <c r="D802" s="1"/>
      <c r="E802" s="1"/>
      <c r="F802" s="1"/>
    </row>
    <row r="803" spans="1:6" ht="15.75" customHeight="1" x14ac:dyDescent="0.35">
      <c r="A803" s="1"/>
      <c r="B803" s="1"/>
      <c r="C803" s="1"/>
      <c r="D803" s="1"/>
      <c r="E803" s="1"/>
      <c r="F803" s="1"/>
    </row>
    <row r="804" spans="1:6" ht="15.75" customHeight="1" x14ac:dyDescent="0.35">
      <c r="A804" s="1"/>
      <c r="B804" s="1"/>
      <c r="C804" s="1"/>
      <c r="D804" s="1"/>
      <c r="E804" s="1"/>
      <c r="F804" s="1"/>
    </row>
    <row r="805" spans="1:6" ht="15.75" customHeight="1" x14ac:dyDescent="0.35">
      <c r="A805" s="1"/>
      <c r="B805" s="1"/>
      <c r="C805" s="1"/>
      <c r="D805" s="1"/>
      <c r="E805" s="1"/>
      <c r="F805" s="1"/>
    </row>
    <row r="806" spans="1:6" ht="15.75" customHeight="1" x14ac:dyDescent="0.35">
      <c r="A806" s="1"/>
      <c r="B806" s="1"/>
      <c r="C806" s="1"/>
      <c r="D806" s="1"/>
      <c r="E806" s="1"/>
      <c r="F806" s="1"/>
    </row>
    <row r="807" spans="1:6" ht="15.75" customHeight="1" x14ac:dyDescent="0.35">
      <c r="A807" s="1"/>
      <c r="B807" s="1"/>
      <c r="C807" s="1"/>
      <c r="D807" s="1"/>
      <c r="E807" s="1"/>
      <c r="F807" s="1"/>
    </row>
    <row r="808" spans="1:6" ht="15.75" customHeight="1" x14ac:dyDescent="0.35">
      <c r="A808" s="1"/>
      <c r="B808" s="1"/>
      <c r="C808" s="1"/>
      <c r="D808" s="1"/>
      <c r="E808" s="1"/>
      <c r="F808" s="1"/>
    </row>
    <row r="809" spans="1:6" ht="15.75" customHeight="1" x14ac:dyDescent="0.35">
      <c r="A809" s="1"/>
      <c r="B809" s="1"/>
      <c r="C809" s="1"/>
      <c r="D809" s="1"/>
      <c r="E809" s="1"/>
      <c r="F809" s="1"/>
    </row>
    <row r="810" spans="1:6" ht="15.75" customHeight="1" x14ac:dyDescent="0.35">
      <c r="A810" s="1"/>
      <c r="B810" s="1"/>
      <c r="C810" s="1"/>
      <c r="D810" s="1"/>
      <c r="E810" s="1"/>
      <c r="F810" s="1"/>
    </row>
    <row r="811" spans="1:6" ht="15.75" customHeight="1" x14ac:dyDescent="0.35">
      <c r="A811" s="1"/>
      <c r="B811" s="1"/>
      <c r="C811" s="1"/>
      <c r="D811" s="1"/>
      <c r="E811" s="1"/>
      <c r="F811" s="1"/>
    </row>
    <row r="812" spans="1:6" ht="15.75" customHeight="1" x14ac:dyDescent="0.35">
      <c r="A812" s="1"/>
      <c r="B812" s="1"/>
      <c r="C812" s="1"/>
      <c r="D812" s="1"/>
      <c r="E812" s="1"/>
      <c r="F812" s="1"/>
    </row>
    <row r="813" spans="1:6" ht="15.75" customHeight="1" x14ac:dyDescent="0.35">
      <c r="A813" s="1"/>
      <c r="B813" s="1"/>
      <c r="C813" s="1"/>
      <c r="D813" s="1"/>
      <c r="E813" s="1"/>
      <c r="F813" s="1"/>
    </row>
    <row r="814" spans="1:6" ht="15.75" customHeight="1" x14ac:dyDescent="0.35">
      <c r="A814" s="1"/>
      <c r="B814" s="1"/>
      <c r="C814" s="1"/>
      <c r="D814" s="1"/>
      <c r="E814" s="1"/>
      <c r="F814" s="1"/>
    </row>
    <row r="815" spans="1:6" ht="15.75" customHeight="1" x14ac:dyDescent="0.35">
      <c r="A815" s="1"/>
      <c r="B815" s="1"/>
      <c r="C815" s="1"/>
      <c r="D815" s="1"/>
      <c r="E815" s="1"/>
      <c r="F815" s="1"/>
    </row>
    <row r="816" spans="1:6" ht="15.75" customHeight="1" x14ac:dyDescent="0.35">
      <c r="A816" s="1"/>
      <c r="B816" s="1"/>
      <c r="C816" s="1"/>
      <c r="D816" s="1"/>
      <c r="E816" s="1"/>
      <c r="F816" s="1"/>
    </row>
    <row r="817" spans="1:6" ht="15.75" customHeight="1" x14ac:dyDescent="0.35">
      <c r="A817" s="1"/>
      <c r="B817" s="1"/>
      <c r="C817" s="1"/>
      <c r="D817" s="1"/>
      <c r="E817" s="1"/>
      <c r="F817" s="1"/>
    </row>
    <row r="818" spans="1:6" ht="15.75" customHeight="1" x14ac:dyDescent="0.35">
      <c r="A818" s="1"/>
      <c r="B818" s="1"/>
      <c r="C818" s="1"/>
      <c r="D818" s="1"/>
      <c r="E818" s="1"/>
      <c r="F818" s="1"/>
    </row>
    <row r="819" spans="1:6" ht="15.75" customHeight="1" x14ac:dyDescent="0.35">
      <c r="A819" s="1"/>
      <c r="B819" s="1"/>
      <c r="C819" s="1"/>
      <c r="D819" s="1"/>
      <c r="E819" s="1"/>
      <c r="F819" s="1"/>
    </row>
    <row r="820" spans="1:6" ht="15.75" customHeight="1" x14ac:dyDescent="0.35">
      <c r="A820" s="1"/>
      <c r="B820" s="1"/>
      <c r="C820" s="1"/>
      <c r="D820" s="1"/>
      <c r="E820" s="1"/>
      <c r="F820" s="1"/>
    </row>
    <row r="821" spans="1:6" ht="15.75" customHeight="1" x14ac:dyDescent="0.35">
      <c r="A821" s="1"/>
      <c r="B821" s="1"/>
      <c r="C821" s="1"/>
      <c r="D821" s="1"/>
      <c r="E821" s="1"/>
      <c r="F821" s="1"/>
    </row>
    <row r="822" spans="1:6" ht="15.75" customHeight="1" x14ac:dyDescent="0.35">
      <c r="A822" s="1"/>
      <c r="B822" s="1"/>
      <c r="C822" s="1"/>
      <c r="D822" s="1"/>
      <c r="E822" s="1"/>
      <c r="F822" s="1"/>
    </row>
    <row r="823" spans="1:6" ht="15.75" customHeight="1" x14ac:dyDescent="0.35">
      <c r="A823" s="1"/>
      <c r="B823" s="1"/>
      <c r="C823" s="1"/>
      <c r="D823" s="1"/>
      <c r="E823" s="1"/>
      <c r="F823" s="1"/>
    </row>
    <row r="824" spans="1:6" ht="15.75" customHeight="1" x14ac:dyDescent="0.35">
      <c r="A824" s="1"/>
      <c r="B824" s="1"/>
      <c r="C824" s="1"/>
      <c r="D824" s="1"/>
      <c r="E824" s="1"/>
      <c r="F824" s="1"/>
    </row>
    <row r="825" spans="1:6" ht="15.75" customHeight="1" x14ac:dyDescent="0.35">
      <c r="A825" s="1"/>
      <c r="B825" s="1"/>
      <c r="C825" s="1"/>
      <c r="D825" s="1"/>
      <c r="E825" s="1"/>
      <c r="F825" s="1"/>
    </row>
    <row r="826" spans="1:6" ht="15.75" customHeight="1" x14ac:dyDescent="0.35">
      <c r="A826" s="1"/>
      <c r="B826" s="1"/>
      <c r="C826" s="1"/>
      <c r="D826" s="1"/>
      <c r="E826" s="1"/>
      <c r="F826" s="1"/>
    </row>
    <row r="827" spans="1:6" ht="15.75" customHeight="1" x14ac:dyDescent="0.35">
      <c r="A827" s="1"/>
      <c r="B827" s="1"/>
      <c r="C827" s="1"/>
      <c r="D827" s="1"/>
      <c r="E827" s="1"/>
      <c r="F827" s="1"/>
    </row>
    <row r="828" spans="1:6" ht="15.75" customHeight="1" x14ac:dyDescent="0.35">
      <c r="A828" s="1"/>
      <c r="B828" s="1"/>
      <c r="C828" s="1"/>
      <c r="D828" s="1"/>
      <c r="E828" s="1"/>
      <c r="F828" s="1"/>
    </row>
    <row r="829" spans="1:6" ht="15.75" customHeight="1" x14ac:dyDescent="0.35">
      <c r="A829" s="1"/>
      <c r="B829" s="1"/>
      <c r="C829" s="1"/>
      <c r="D829" s="1"/>
      <c r="E829" s="1"/>
      <c r="F829" s="1"/>
    </row>
    <row r="830" spans="1:6" ht="15.75" customHeight="1" x14ac:dyDescent="0.35">
      <c r="A830" s="1"/>
      <c r="B830" s="1"/>
      <c r="C830" s="1"/>
      <c r="D830" s="1"/>
      <c r="E830" s="1"/>
      <c r="F830" s="1"/>
    </row>
    <row r="831" spans="1:6" ht="15.75" customHeight="1" x14ac:dyDescent="0.35">
      <c r="A831" s="1"/>
      <c r="B831" s="1"/>
      <c r="C831" s="1"/>
      <c r="D831" s="1"/>
      <c r="E831" s="1"/>
      <c r="F831" s="1"/>
    </row>
    <row r="832" spans="1:6" ht="15.75" customHeight="1" x14ac:dyDescent="0.35">
      <c r="A832" s="1"/>
      <c r="B832" s="1"/>
      <c r="C832" s="1"/>
      <c r="D832" s="1"/>
      <c r="E832" s="1"/>
      <c r="F832" s="1"/>
    </row>
    <row r="833" spans="1:6" ht="15.75" customHeight="1" x14ac:dyDescent="0.35">
      <c r="A833" s="1"/>
      <c r="B833" s="1"/>
      <c r="C833" s="1"/>
      <c r="D833" s="1"/>
      <c r="E833" s="1"/>
      <c r="F833" s="1"/>
    </row>
    <row r="834" spans="1:6" ht="15.75" customHeight="1" x14ac:dyDescent="0.35">
      <c r="A834" s="1"/>
      <c r="B834" s="1"/>
      <c r="C834" s="1"/>
      <c r="D834" s="1"/>
      <c r="E834" s="1"/>
      <c r="F834" s="1"/>
    </row>
    <row r="835" spans="1:6" ht="15.75" customHeight="1" x14ac:dyDescent="0.35">
      <c r="A835" s="1"/>
      <c r="B835" s="1"/>
      <c r="C835" s="1"/>
      <c r="D835" s="1"/>
      <c r="E835" s="1"/>
      <c r="F835" s="1"/>
    </row>
    <row r="836" spans="1:6" ht="15.75" customHeight="1" x14ac:dyDescent="0.35">
      <c r="A836" s="1"/>
      <c r="B836" s="1"/>
      <c r="C836" s="1"/>
      <c r="D836" s="1"/>
      <c r="E836" s="1"/>
      <c r="F836" s="1"/>
    </row>
    <row r="837" spans="1:6" ht="15.75" customHeight="1" x14ac:dyDescent="0.35">
      <c r="A837" s="1"/>
      <c r="B837" s="1"/>
      <c r="C837" s="1"/>
      <c r="D837" s="1"/>
      <c r="E837" s="1"/>
      <c r="F837" s="1"/>
    </row>
    <row r="838" spans="1:6" ht="15.75" customHeight="1" x14ac:dyDescent="0.35">
      <c r="A838" s="1"/>
      <c r="B838" s="1"/>
      <c r="C838" s="1"/>
      <c r="D838" s="1"/>
      <c r="E838" s="1"/>
      <c r="F838" s="1"/>
    </row>
    <row r="839" spans="1:6" ht="15.75" customHeight="1" x14ac:dyDescent="0.35">
      <c r="A839" s="1"/>
      <c r="B839" s="1"/>
      <c r="C839" s="1"/>
      <c r="D839" s="1"/>
      <c r="E839" s="1"/>
      <c r="F839" s="1"/>
    </row>
    <row r="840" spans="1:6" ht="15.75" customHeight="1" x14ac:dyDescent="0.35">
      <c r="A840" s="1"/>
      <c r="B840" s="1"/>
      <c r="C840" s="1"/>
      <c r="D840" s="1"/>
      <c r="E840" s="1"/>
      <c r="F840" s="1"/>
    </row>
    <row r="841" spans="1:6" ht="15.75" customHeight="1" x14ac:dyDescent="0.35">
      <c r="A841" s="1"/>
      <c r="B841" s="1"/>
      <c r="C841" s="1"/>
      <c r="D841" s="1"/>
      <c r="E841" s="1"/>
      <c r="F841" s="1"/>
    </row>
    <row r="842" spans="1:6" ht="15.75" customHeight="1" x14ac:dyDescent="0.35">
      <c r="A842" s="1"/>
      <c r="B842" s="1"/>
      <c r="C842" s="1"/>
      <c r="D842" s="1"/>
      <c r="E842" s="1"/>
      <c r="F842" s="1"/>
    </row>
    <row r="843" spans="1:6" ht="15.75" customHeight="1" x14ac:dyDescent="0.35">
      <c r="A843" s="1"/>
      <c r="B843" s="1"/>
      <c r="C843" s="1"/>
      <c r="D843" s="1"/>
      <c r="E843" s="1"/>
      <c r="F843" s="1"/>
    </row>
    <row r="844" spans="1:6" ht="15.75" customHeight="1" x14ac:dyDescent="0.35">
      <c r="A844" s="1"/>
      <c r="B844" s="1"/>
      <c r="C844" s="1"/>
      <c r="D844" s="1"/>
      <c r="E844" s="1"/>
      <c r="F844" s="1"/>
    </row>
    <row r="845" spans="1:6" ht="15.75" customHeight="1" x14ac:dyDescent="0.35">
      <c r="A845" s="1"/>
      <c r="B845" s="1"/>
      <c r="C845" s="1"/>
      <c r="D845" s="1"/>
      <c r="E845" s="1"/>
      <c r="F845" s="1"/>
    </row>
    <row r="846" spans="1:6" ht="15.75" customHeight="1" x14ac:dyDescent="0.35">
      <c r="A846" s="1"/>
      <c r="B846" s="1"/>
      <c r="C846" s="1"/>
      <c r="D846" s="1"/>
      <c r="E846" s="1"/>
      <c r="F846" s="1"/>
    </row>
    <row r="847" spans="1:6" ht="15.75" customHeight="1" x14ac:dyDescent="0.35">
      <c r="A847" s="1"/>
      <c r="B847" s="1"/>
      <c r="C847" s="1"/>
      <c r="D847" s="1"/>
      <c r="E847" s="1"/>
      <c r="F847" s="1"/>
    </row>
    <row r="848" spans="1:6" ht="15.75" customHeight="1" x14ac:dyDescent="0.35">
      <c r="A848" s="1"/>
      <c r="B848" s="1"/>
      <c r="C848" s="1"/>
      <c r="D848" s="1"/>
      <c r="E848" s="1"/>
      <c r="F848" s="1"/>
    </row>
    <row r="849" spans="1:6" ht="15.75" customHeight="1" x14ac:dyDescent="0.35">
      <c r="A849" s="1"/>
      <c r="B849" s="1"/>
      <c r="C849" s="1"/>
      <c r="D849" s="1"/>
      <c r="E849" s="1"/>
      <c r="F849" s="1"/>
    </row>
    <row r="850" spans="1:6" ht="15.75" customHeight="1" x14ac:dyDescent="0.35">
      <c r="A850" s="1"/>
      <c r="B850" s="1"/>
      <c r="C850" s="1"/>
      <c r="D850" s="1"/>
      <c r="E850" s="1"/>
      <c r="F850" s="1"/>
    </row>
    <row r="851" spans="1:6" ht="15.75" customHeight="1" x14ac:dyDescent="0.35">
      <c r="A851" s="1"/>
      <c r="B851" s="1"/>
      <c r="C851" s="1"/>
      <c r="D851" s="1"/>
      <c r="E851" s="1"/>
      <c r="F851" s="1"/>
    </row>
    <row r="852" spans="1:6" ht="15.75" customHeight="1" x14ac:dyDescent="0.35">
      <c r="A852" s="1"/>
      <c r="B852" s="1"/>
      <c r="C852" s="1"/>
      <c r="D852" s="1"/>
      <c r="E852" s="1"/>
      <c r="F852" s="1"/>
    </row>
    <row r="853" spans="1:6" ht="15.75" customHeight="1" x14ac:dyDescent="0.35">
      <c r="A853" s="1"/>
      <c r="B853" s="1"/>
      <c r="C853" s="1"/>
      <c r="D853" s="1"/>
      <c r="E853" s="1"/>
      <c r="F853" s="1"/>
    </row>
    <row r="854" spans="1:6" ht="15.75" customHeight="1" x14ac:dyDescent="0.35">
      <c r="A854" s="1"/>
      <c r="B854" s="1"/>
      <c r="C854" s="1"/>
      <c r="D854" s="1"/>
      <c r="E854" s="1"/>
      <c r="F854" s="1"/>
    </row>
    <row r="855" spans="1:6" ht="15.75" customHeight="1" x14ac:dyDescent="0.35">
      <c r="A855" s="1"/>
      <c r="B855" s="1"/>
      <c r="C855" s="1"/>
      <c r="D855" s="1"/>
      <c r="E855" s="1"/>
      <c r="F855" s="1"/>
    </row>
    <row r="856" spans="1:6" ht="15.75" customHeight="1" x14ac:dyDescent="0.35">
      <c r="A856" s="1"/>
      <c r="B856" s="1"/>
      <c r="C856" s="1"/>
      <c r="D856" s="1"/>
      <c r="E856" s="1"/>
      <c r="F856" s="1"/>
    </row>
    <row r="857" spans="1:6" ht="15.75" customHeight="1" x14ac:dyDescent="0.35">
      <c r="A857" s="1"/>
      <c r="B857" s="1"/>
      <c r="C857" s="1"/>
      <c r="D857" s="1"/>
      <c r="E857" s="1"/>
      <c r="F857" s="1"/>
    </row>
    <row r="858" spans="1:6" ht="15.75" customHeight="1" x14ac:dyDescent="0.35">
      <c r="A858" s="1"/>
      <c r="B858" s="1"/>
      <c r="C858" s="1"/>
      <c r="D858" s="1"/>
      <c r="E858" s="1"/>
      <c r="F858" s="1"/>
    </row>
    <row r="859" spans="1:6" ht="15.75" customHeight="1" x14ac:dyDescent="0.35">
      <c r="A859" s="1"/>
      <c r="B859" s="1"/>
      <c r="C859" s="1"/>
      <c r="D859" s="1"/>
      <c r="E859" s="1"/>
      <c r="F859" s="1"/>
    </row>
    <row r="860" spans="1:6" ht="15.75" customHeight="1" x14ac:dyDescent="0.35">
      <c r="A860" s="1"/>
      <c r="B860" s="1"/>
      <c r="C860" s="1"/>
      <c r="D860" s="1"/>
      <c r="E860" s="1"/>
      <c r="F860" s="1"/>
    </row>
    <row r="861" spans="1:6" ht="15.75" customHeight="1" x14ac:dyDescent="0.35">
      <c r="A861" s="1"/>
      <c r="B861" s="1"/>
      <c r="C861" s="1"/>
      <c r="D861" s="1"/>
      <c r="E861" s="1"/>
      <c r="F861" s="1"/>
    </row>
    <row r="862" spans="1:6" ht="15.75" customHeight="1" x14ac:dyDescent="0.35">
      <c r="A862" s="1"/>
      <c r="B862" s="1"/>
      <c r="C862" s="1"/>
      <c r="D862" s="1"/>
      <c r="E862" s="1"/>
      <c r="F862" s="1"/>
    </row>
    <row r="863" spans="1:6" ht="15.75" customHeight="1" x14ac:dyDescent="0.35">
      <c r="A863" s="1"/>
      <c r="B863" s="1"/>
      <c r="C863" s="1"/>
      <c r="D863" s="1"/>
      <c r="E863" s="1"/>
      <c r="F863" s="1"/>
    </row>
    <row r="864" spans="1:6" ht="15.75" customHeight="1" x14ac:dyDescent="0.35">
      <c r="A864" s="1"/>
      <c r="B864" s="1"/>
      <c r="C864" s="1"/>
      <c r="D864" s="1"/>
      <c r="E864" s="1"/>
      <c r="F864" s="1"/>
    </row>
    <row r="865" spans="1:6" ht="15.75" customHeight="1" x14ac:dyDescent="0.35">
      <c r="A865" s="1"/>
      <c r="B865" s="1"/>
      <c r="C865" s="1"/>
      <c r="D865" s="1"/>
      <c r="E865" s="1"/>
      <c r="F865" s="1"/>
    </row>
    <row r="866" spans="1:6" ht="15.75" customHeight="1" x14ac:dyDescent="0.35">
      <c r="A866" s="1"/>
      <c r="B866" s="1"/>
      <c r="C866" s="1"/>
      <c r="D866" s="1"/>
      <c r="E866" s="1"/>
      <c r="F866" s="1"/>
    </row>
    <row r="867" spans="1:6" ht="15.75" customHeight="1" x14ac:dyDescent="0.35">
      <c r="A867" s="1"/>
      <c r="B867" s="1"/>
      <c r="C867" s="1"/>
      <c r="D867" s="1"/>
      <c r="E867" s="1"/>
      <c r="F867" s="1"/>
    </row>
    <row r="868" spans="1:6" ht="15.75" customHeight="1" x14ac:dyDescent="0.35">
      <c r="A868" s="1"/>
      <c r="B868" s="1"/>
      <c r="C868" s="1"/>
      <c r="D868" s="1"/>
      <c r="E868" s="1"/>
      <c r="F868" s="1"/>
    </row>
    <row r="869" spans="1:6" ht="15.75" customHeight="1" x14ac:dyDescent="0.35">
      <c r="A869" s="1"/>
      <c r="B869" s="1"/>
      <c r="C869" s="1"/>
      <c r="D869" s="1"/>
      <c r="E869" s="1"/>
      <c r="F869" s="1"/>
    </row>
    <row r="870" spans="1:6" ht="15.75" customHeight="1" x14ac:dyDescent="0.35">
      <c r="A870" s="1"/>
      <c r="B870" s="1"/>
      <c r="C870" s="1"/>
      <c r="D870" s="1"/>
      <c r="E870" s="1"/>
      <c r="F870" s="1"/>
    </row>
    <row r="871" spans="1:6" ht="15.75" customHeight="1" x14ac:dyDescent="0.35">
      <c r="A871" s="1"/>
      <c r="B871" s="1"/>
      <c r="C871" s="1"/>
      <c r="D871" s="1"/>
      <c r="E871" s="1"/>
      <c r="F871" s="1"/>
    </row>
    <row r="872" spans="1:6" ht="15.75" customHeight="1" x14ac:dyDescent="0.35">
      <c r="A872" s="1"/>
      <c r="B872" s="1"/>
      <c r="C872" s="1"/>
      <c r="D872" s="1"/>
      <c r="E872" s="1"/>
      <c r="F872" s="1"/>
    </row>
    <row r="873" spans="1:6" ht="15.75" customHeight="1" x14ac:dyDescent="0.35">
      <c r="A873" s="1"/>
      <c r="B873" s="1"/>
      <c r="C873" s="1"/>
      <c r="D873" s="1"/>
      <c r="E873" s="1"/>
      <c r="F873" s="1"/>
    </row>
    <row r="874" spans="1:6" ht="15.75" customHeight="1" x14ac:dyDescent="0.35">
      <c r="A874" s="1"/>
      <c r="B874" s="1"/>
      <c r="C874" s="1"/>
      <c r="D874" s="1"/>
      <c r="E874" s="1"/>
      <c r="F874" s="1"/>
    </row>
    <row r="875" spans="1:6" ht="15.75" customHeight="1" x14ac:dyDescent="0.35">
      <c r="A875" s="1"/>
      <c r="B875" s="1"/>
      <c r="C875" s="1"/>
      <c r="D875" s="1"/>
      <c r="E875" s="1"/>
      <c r="F875" s="1"/>
    </row>
    <row r="876" spans="1:6" ht="15.75" customHeight="1" x14ac:dyDescent="0.35">
      <c r="A876" s="1"/>
      <c r="B876" s="1"/>
      <c r="C876" s="1"/>
      <c r="D876" s="1"/>
      <c r="E876" s="1"/>
      <c r="F876" s="1"/>
    </row>
    <row r="877" spans="1:6" ht="15.75" customHeight="1" x14ac:dyDescent="0.35">
      <c r="A877" s="1"/>
      <c r="B877" s="1"/>
      <c r="C877" s="1"/>
      <c r="D877" s="1"/>
      <c r="E877" s="1"/>
      <c r="F877" s="1"/>
    </row>
    <row r="878" spans="1:6" ht="15.75" customHeight="1" x14ac:dyDescent="0.35">
      <c r="A878" s="1"/>
      <c r="B878" s="1"/>
      <c r="C878" s="1"/>
      <c r="D878" s="1"/>
      <c r="E878" s="1"/>
      <c r="F878" s="1"/>
    </row>
    <row r="879" spans="1:6" ht="15.75" customHeight="1" x14ac:dyDescent="0.35">
      <c r="A879" s="1"/>
      <c r="B879" s="1"/>
      <c r="C879" s="1"/>
      <c r="D879" s="1"/>
      <c r="E879" s="1"/>
      <c r="F879" s="1"/>
    </row>
    <row r="880" spans="1:6" ht="15.75" customHeight="1" x14ac:dyDescent="0.35">
      <c r="A880" s="1"/>
      <c r="B880" s="1"/>
      <c r="C880" s="1"/>
      <c r="D880" s="1"/>
      <c r="E880" s="1"/>
      <c r="F880" s="1"/>
    </row>
    <row r="881" spans="1:6" ht="15.75" customHeight="1" x14ac:dyDescent="0.35">
      <c r="A881" s="1"/>
      <c r="B881" s="1"/>
      <c r="C881" s="1"/>
      <c r="D881" s="1"/>
      <c r="E881" s="1"/>
      <c r="F881" s="1"/>
    </row>
    <row r="882" spans="1:6" ht="15.75" customHeight="1" x14ac:dyDescent="0.35">
      <c r="A882" s="1"/>
      <c r="B882" s="1"/>
      <c r="C882" s="1"/>
      <c r="D882" s="1"/>
      <c r="E882" s="1"/>
      <c r="F882" s="1"/>
    </row>
    <row r="883" spans="1:6" ht="15.75" customHeight="1" x14ac:dyDescent="0.35">
      <c r="A883" s="1"/>
      <c r="B883" s="1"/>
      <c r="C883" s="1"/>
      <c r="D883" s="1"/>
      <c r="E883" s="1"/>
      <c r="F883" s="1"/>
    </row>
    <row r="884" spans="1:6" ht="15.75" customHeight="1" x14ac:dyDescent="0.35">
      <c r="A884" s="1"/>
      <c r="B884" s="1"/>
      <c r="C884" s="1"/>
      <c r="D884" s="1"/>
      <c r="E884" s="1"/>
      <c r="F884" s="1"/>
    </row>
    <row r="885" spans="1:6" ht="15.75" customHeight="1" x14ac:dyDescent="0.35">
      <c r="A885" s="1"/>
      <c r="B885" s="1"/>
      <c r="C885" s="1"/>
      <c r="D885" s="1"/>
      <c r="E885" s="1"/>
      <c r="F885" s="1"/>
    </row>
    <row r="886" spans="1:6" ht="15.75" customHeight="1" x14ac:dyDescent="0.35">
      <c r="A886" s="1"/>
      <c r="B886" s="1"/>
      <c r="C886" s="1"/>
      <c r="D886" s="1"/>
      <c r="E886" s="1"/>
      <c r="F886" s="1"/>
    </row>
    <row r="887" spans="1:6" ht="15.75" customHeight="1" x14ac:dyDescent="0.35">
      <c r="A887" s="1"/>
      <c r="B887" s="1"/>
      <c r="C887" s="1"/>
      <c r="D887" s="1"/>
      <c r="E887" s="1"/>
      <c r="F887" s="1"/>
    </row>
    <row r="888" spans="1:6" ht="15.75" customHeight="1" x14ac:dyDescent="0.35">
      <c r="A888" s="1"/>
      <c r="B888" s="1"/>
      <c r="C888" s="1"/>
      <c r="D888" s="1"/>
      <c r="E888" s="1"/>
      <c r="F888" s="1"/>
    </row>
    <row r="889" spans="1:6" ht="15.75" customHeight="1" x14ac:dyDescent="0.35">
      <c r="A889" s="1"/>
      <c r="B889" s="1"/>
      <c r="C889" s="1"/>
      <c r="D889" s="1"/>
      <c r="E889" s="1"/>
      <c r="F889" s="1"/>
    </row>
    <row r="890" spans="1:6" ht="15.75" customHeight="1" x14ac:dyDescent="0.35">
      <c r="A890" s="1"/>
      <c r="B890" s="1"/>
      <c r="C890" s="1"/>
      <c r="D890" s="1"/>
      <c r="E890" s="1"/>
      <c r="F890" s="1"/>
    </row>
    <row r="891" spans="1:6" ht="15.75" customHeight="1" x14ac:dyDescent="0.35">
      <c r="A891" s="1"/>
      <c r="B891" s="1"/>
      <c r="C891" s="1"/>
      <c r="D891" s="1"/>
      <c r="E891" s="1"/>
      <c r="F891" s="1"/>
    </row>
    <row r="892" spans="1:6" ht="15.75" customHeight="1" x14ac:dyDescent="0.35">
      <c r="A892" s="1"/>
      <c r="B892" s="1"/>
      <c r="C892" s="1"/>
      <c r="D892" s="1"/>
      <c r="E892" s="1"/>
      <c r="F892" s="1"/>
    </row>
    <row r="893" spans="1:6" ht="15.75" customHeight="1" x14ac:dyDescent="0.35">
      <c r="A893" s="1"/>
      <c r="B893" s="1"/>
      <c r="C893" s="1"/>
      <c r="D893" s="1"/>
      <c r="E893" s="1"/>
      <c r="F893" s="1"/>
    </row>
    <row r="894" spans="1:6" ht="15.75" customHeight="1" x14ac:dyDescent="0.35">
      <c r="A894" s="1"/>
      <c r="B894" s="1"/>
      <c r="C894" s="1"/>
      <c r="D894" s="1"/>
      <c r="E894" s="1"/>
      <c r="F894" s="1"/>
    </row>
    <row r="895" spans="1:6" ht="15.75" customHeight="1" x14ac:dyDescent="0.35">
      <c r="A895" s="1"/>
      <c r="B895" s="1"/>
      <c r="C895" s="1"/>
      <c r="D895" s="1"/>
      <c r="E895" s="1"/>
      <c r="F895" s="1"/>
    </row>
    <row r="896" spans="1:6" ht="15.75" customHeight="1" x14ac:dyDescent="0.35">
      <c r="A896" s="1"/>
      <c r="B896" s="1"/>
      <c r="C896" s="1"/>
      <c r="D896" s="1"/>
      <c r="E896" s="1"/>
      <c r="F896" s="1"/>
    </row>
    <row r="897" spans="1:6" ht="15.75" customHeight="1" x14ac:dyDescent="0.35">
      <c r="A897" s="1"/>
      <c r="B897" s="1"/>
      <c r="C897" s="1"/>
      <c r="D897" s="1"/>
      <c r="E897" s="1"/>
      <c r="F897" s="1"/>
    </row>
    <row r="898" spans="1:6" ht="15.75" customHeight="1" x14ac:dyDescent="0.35">
      <c r="A898" s="1"/>
      <c r="B898" s="1"/>
      <c r="C898" s="1"/>
      <c r="D898" s="1"/>
      <c r="E898" s="1"/>
      <c r="F898" s="1"/>
    </row>
    <row r="899" spans="1:6" ht="15.75" customHeight="1" x14ac:dyDescent="0.35">
      <c r="A899" s="1"/>
      <c r="B899" s="1"/>
      <c r="C899" s="1"/>
      <c r="D899" s="1"/>
      <c r="E899" s="1"/>
      <c r="F899" s="1"/>
    </row>
    <row r="900" spans="1:6" ht="15.75" customHeight="1" x14ac:dyDescent="0.35">
      <c r="A900" s="1"/>
      <c r="B900" s="1"/>
      <c r="C900" s="1"/>
      <c r="D900" s="1"/>
      <c r="E900" s="1"/>
      <c r="F900" s="1"/>
    </row>
    <row r="901" spans="1:6" ht="15.75" customHeight="1" x14ac:dyDescent="0.35">
      <c r="A901" s="1"/>
      <c r="B901" s="1"/>
      <c r="C901" s="1"/>
      <c r="D901" s="1"/>
      <c r="E901" s="1"/>
      <c r="F901" s="1"/>
    </row>
    <row r="902" spans="1:6" ht="15.75" customHeight="1" x14ac:dyDescent="0.35">
      <c r="A902" s="1"/>
      <c r="B902" s="1"/>
      <c r="C902" s="1"/>
      <c r="D902" s="1"/>
      <c r="E902" s="1"/>
      <c r="F902" s="1"/>
    </row>
    <row r="903" spans="1:6" ht="15.75" customHeight="1" x14ac:dyDescent="0.35">
      <c r="A903" s="1"/>
      <c r="B903" s="1"/>
      <c r="C903" s="1"/>
      <c r="D903" s="1"/>
      <c r="E903" s="1"/>
      <c r="F903" s="1"/>
    </row>
    <row r="904" spans="1:6" ht="15.75" customHeight="1" x14ac:dyDescent="0.35">
      <c r="A904" s="1"/>
      <c r="B904" s="1"/>
      <c r="C904" s="1"/>
      <c r="D904" s="1"/>
      <c r="E904" s="1"/>
      <c r="F904" s="1"/>
    </row>
    <row r="905" spans="1:6" ht="15.75" customHeight="1" x14ac:dyDescent="0.35">
      <c r="A905" s="1"/>
      <c r="B905" s="1"/>
      <c r="C905" s="1"/>
      <c r="D905" s="1"/>
      <c r="E905" s="1"/>
      <c r="F905" s="1"/>
    </row>
    <row r="906" spans="1:6" ht="15.75" customHeight="1" x14ac:dyDescent="0.35">
      <c r="A906" s="1"/>
      <c r="B906" s="1"/>
      <c r="C906" s="1"/>
      <c r="D906" s="1"/>
      <c r="E906" s="1"/>
      <c r="F906" s="1"/>
    </row>
    <row r="907" spans="1:6" ht="15.75" customHeight="1" x14ac:dyDescent="0.35">
      <c r="A907" s="1"/>
      <c r="B907" s="1"/>
      <c r="C907" s="1"/>
      <c r="D907" s="1"/>
      <c r="E907" s="1"/>
      <c r="F907" s="1"/>
    </row>
    <row r="908" spans="1:6" ht="15.75" customHeight="1" x14ac:dyDescent="0.35">
      <c r="A908" s="1"/>
      <c r="B908" s="1"/>
      <c r="C908" s="1"/>
      <c r="D908" s="1"/>
      <c r="E908" s="1"/>
      <c r="F908" s="1"/>
    </row>
    <row r="909" spans="1:6" ht="15.75" customHeight="1" x14ac:dyDescent="0.35">
      <c r="A909" s="1"/>
      <c r="B909" s="1"/>
      <c r="C909" s="1"/>
      <c r="D909" s="1"/>
      <c r="E909" s="1"/>
      <c r="F909" s="1"/>
    </row>
    <row r="910" spans="1:6" ht="15.75" customHeight="1" x14ac:dyDescent="0.35">
      <c r="A910" s="1"/>
      <c r="B910" s="1"/>
      <c r="C910" s="1"/>
      <c r="D910" s="1"/>
      <c r="E910" s="1"/>
      <c r="F910" s="1"/>
    </row>
    <row r="911" spans="1:6" ht="15.75" customHeight="1" x14ac:dyDescent="0.35">
      <c r="A911" s="1"/>
      <c r="B911" s="1"/>
      <c r="C911" s="1"/>
      <c r="D911" s="1"/>
      <c r="E911" s="1"/>
      <c r="F911" s="1"/>
    </row>
    <row r="912" spans="1:6" ht="15.75" customHeight="1" x14ac:dyDescent="0.35">
      <c r="A912" s="1"/>
      <c r="B912" s="1"/>
      <c r="C912" s="1"/>
      <c r="D912" s="1"/>
      <c r="E912" s="1"/>
      <c r="F912" s="1"/>
    </row>
    <row r="913" spans="1:6" ht="15.75" customHeight="1" x14ac:dyDescent="0.35">
      <c r="A913" s="1"/>
      <c r="B913" s="1"/>
      <c r="C913" s="1"/>
      <c r="D913" s="1"/>
      <c r="E913" s="1"/>
      <c r="F913" s="1"/>
    </row>
    <row r="914" spans="1:6" ht="15.75" customHeight="1" x14ac:dyDescent="0.35">
      <c r="A914" s="1"/>
      <c r="B914" s="1"/>
      <c r="C914" s="1"/>
      <c r="D914" s="1"/>
      <c r="E914" s="1"/>
      <c r="F914" s="1"/>
    </row>
    <row r="915" spans="1:6" ht="15.75" customHeight="1" x14ac:dyDescent="0.35">
      <c r="A915" s="1"/>
      <c r="B915" s="1"/>
      <c r="C915" s="1"/>
      <c r="D915" s="1"/>
      <c r="E915" s="1"/>
      <c r="F915" s="1"/>
    </row>
    <row r="916" spans="1:6" ht="15.75" customHeight="1" x14ac:dyDescent="0.35">
      <c r="A916" s="1"/>
      <c r="B916" s="1"/>
      <c r="C916" s="1"/>
      <c r="D916" s="1"/>
      <c r="E916" s="1"/>
      <c r="F916" s="1"/>
    </row>
    <row r="917" spans="1:6" ht="15.75" customHeight="1" x14ac:dyDescent="0.35">
      <c r="A917" s="1"/>
      <c r="B917" s="1"/>
      <c r="C917" s="1"/>
      <c r="D917" s="1"/>
      <c r="E917" s="1"/>
      <c r="F917" s="1"/>
    </row>
    <row r="918" spans="1:6" ht="15.75" customHeight="1" x14ac:dyDescent="0.35">
      <c r="A918" s="1"/>
      <c r="B918" s="1"/>
      <c r="C918" s="1"/>
      <c r="D918" s="1"/>
      <c r="E918" s="1"/>
      <c r="F918" s="1"/>
    </row>
    <row r="919" spans="1:6" ht="15.75" customHeight="1" x14ac:dyDescent="0.35">
      <c r="A919" s="1"/>
      <c r="B919" s="1"/>
      <c r="C919" s="1"/>
      <c r="D919" s="1"/>
      <c r="E919" s="1"/>
      <c r="F919" s="1"/>
    </row>
    <row r="920" spans="1:6" ht="15.75" customHeight="1" x14ac:dyDescent="0.35">
      <c r="A920" s="1"/>
      <c r="B920" s="1"/>
      <c r="C920" s="1"/>
      <c r="D920" s="1"/>
      <c r="E920" s="1"/>
      <c r="F920" s="1"/>
    </row>
    <row r="921" spans="1:6" ht="15.75" customHeight="1" x14ac:dyDescent="0.35">
      <c r="A921" s="1"/>
      <c r="B921" s="1"/>
      <c r="C921" s="1"/>
      <c r="D921" s="1"/>
      <c r="E921" s="1"/>
      <c r="F921" s="1"/>
    </row>
    <row r="922" spans="1:6" ht="15.75" customHeight="1" x14ac:dyDescent="0.35">
      <c r="A922" s="1"/>
      <c r="B922" s="1"/>
      <c r="C922" s="1"/>
      <c r="D922" s="1"/>
      <c r="E922" s="1"/>
      <c r="F922" s="1"/>
    </row>
    <row r="923" spans="1:6" ht="15.75" customHeight="1" x14ac:dyDescent="0.35">
      <c r="A923" s="1"/>
      <c r="B923" s="1"/>
      <c r="C923" s="1"/>
      <c r="D923" s="1"/>
      <c r="E923" s="1"/>
      <c r="F923" s="1"/>
    </row>
    <row r="924" spans="1:6" ht="15.75" customHeight="1" x14ac:dyDescent="0.35">
      <c r="A924" s="1"/>
      <c r="B924" s="1"/>
      <c r="C924" s="1"/>
      <c r="D924" s="1"/>
      <c r="E924" s="1"/>
      <c r="F924" s="1"/>
    </row>
    <row r="925" spans="1:6" ht="15.75" customHeight="1" x14ac:dyDescent="0.35">
      <c r="A925" s="1"/>
      <c r="B925" s="1"/>
      <c r="C925" s="1"/>
      <c r="D925" s="1"/>
      <c r="E925" s="1"/>
      <c r="F925" s="1"/>
    </row>
    <row r="926" spans="1:6" ht="15.75" customHeight="1" x14ac:dyDescent="0.35">
      <c r="A926" s="1"/>
      <c r="B926" s="1"/>
      <c r="C926" s="1"/>
      <c r="D926" s="1"/>
      <c r="E926" s="1"/>
      <c r="F926" s="1"/>
    </row>
    <row r="927" spans="1:6" ht="15.75" customHeight="1" x14ac:dyDescent="0.35">
      <c r="A927" s="1"/>
      <c r="B927" s="1"/>
      <c r="C927" s="1"/>
      <c r="D927" s="1"/>
      <c r="E927" s="1"/>
      <c r="F927" s="1"/>
    </row>
    <row r="928" spans="1:6" ht="15.75" customHeight="1" x14ac:dyDescent="0.35">
      <c r="A928" s="1"/>
      <c r="B928" s="1"/>
      <c r="C928" s="1"/>
      <c r="D928" s="1"/>
      <c r="E928" s="1"/>
      <c r="F928" s="1"/>
    </row>
    <row r="929" spans="1:6" ht="15.75" customHeight="1" x14ac:dyDescent="0.35">
      <c r="A929" s="1"/>
      <c r="B929" s="1"/>
      <c r="C929" s="1"/>
      <c r="D929" s="1"/>
      <c r="E929" s="1"/>
      <c r="F929" s="1"/>
    </row>
    <row r="930" spans="1:6" ht="15.75" customHeight="1" x14ac:dyDescent="0.35">
      <c r="A930" s="1"/>
      <c r="B930" s="1"/>
      <c r="C930" s="1"/>
      <c r="D930" s="1"/>
      <c r="E930" s="1"/>
      <c r="F930" s="1"/>
    </row>
    <row r="931" spans="1:6" ht="15.75" customHeight="1" x14ac:dyDescent="0.35">
      <c r="A931" s="1"/>
      <c r="B931" s="1"/>
      <c r="C931" s="1"/>
      <c r="D931" s="1"/>
      <c r="E931" s="1"/>
      <c r="F931" s="1"/>
    </row>
    <row r="932" spans="1:6" ht="15.75" customHeight="1" x14ac:dyDescent="0.35">
      <c r="A932" s="1"/>
      <c r="B932" s="1"/>
      <c r="C932" s="1"/>
      <c r="D932" s="1"/>
      <c r="E932" s="1"/>
      <c r="F932" s="1"/>
    </row>
    <row r="933" spans="1:6" ht="15.75" customHeight="1" x14ac:dyDescent="0.35">
      <c r="A933" s="1"/>
      <c r="B933" s="1"/>
      <c r="C933" s="1"/>
      <c r="D933" s="1"/>
      <c r="E933" s="1"/>
      <c r="F933" s="1"/>
    </row>
    <row r="934" spans="1:6" ht="15.75" customHeight="1" x14ac:dyDescent="0.35">
      <c r="A934" s="1"/>
      <c r="B934" s="1"/>
      <c r="C934" s="1"/>
      <c r="D934" s="1"/>
      <c r="E934" s="1"/>
      <c r="F934" s="1"/>
    </row>
    <row r="935" spans="1:6" ht="15.75" customHeight="1" x14ac:dyDescent="0.35">
      <c r="A935" s="1"/>
      <c r="B935" s="1"/>
      <c r="C935" s="1"/>
      <c r="D935" s="1"/>
      <c r="E935" s="1"/>
      <c r="F935" s="1"/>
    </row>
    <row r="936" spans="1:6" ht="15.75" customHeight="1" x14ac:dyDescent="0.35">
      <c r="A936" s="1"/>
      <c r="B936" s="1"/>
      <c r="C936" s="1"/>
      <c r="D936" s="1"/>
      <c r="E936" s="1"/>
      <c r="F936" s="1"/>
    </row>
    <row r="937" spans="1:6" ht="15.75" customHeight="1" x14ac:dyDescent="0.35">
      <c r="A937" s="1"/>
      <c r="B937" s="1"/>
      <c r="C937" s="1"/>
      <c r="D937" s="1"/>
      <c r="E937" s="1"/>
      <c r="F937" s="1"/>
    </row>
    <row r="938" spans="1:6" ht="15.75" customHeight="1" x14ac:dyDescent="0.35">
      <c r="A938" s="1"/>
      <c r="B938" s="1"/>
      <c r="C938" s="1"/>
      <c r="D938" s="1"/>
      <c r="E938" s="1"/>
      <c r="F938" s="1"/>
    </row>
    <row r="939" spans="1:6" ht="15.75" customHeight="1" x14ac:dyDescent="0.35">
      <c r="A939" s="1"/>
      <c r="B939" s="1"/>
      <c r="C939" s="1"/>
      <c r="D939" s="1"/>
      <c r="E939" s="1"/>
      <c r="F939" s="1"/>
    </row>
    <row r="940" spans="1:6" ht="15.75" customHeight="1" x14ac:dyDescent="0.35">
      <c r="A940" s="1"/>
      <c r="B940" s="1"/>
      <c r="C940" s="1"/>
      <c r="D940" s="1"/>
      <c r="E940" s="1"/>
      <c r="F940" s="1"/>
    </row>
    <row r="941" spans="1:6" ht="15.75" customHeight="1" x14ac:dyDescent="0.35">
      <c r="A941" s="1"/>
      <c r="B941" s="1"/>
      <c r="C941" s="1"/>
      <c r="D941" s="1"/>
      <c r="E941" s="1"/>
      <c r="F941" s="1"/>
    </row>
    <row r="942" spans="1:6" ht="15.75" customHeight="1" x14ac:dyDescent="0.35">
      <c r="A942" s="1"/>
      <c r="B942" s="1"/>
      <c r="C942" s="1"/>
      <c r="D942" s="1"/>
      <c r="E942" s="1"/>
      <c r="F942" s="1"/>
    </row>
    <row r="943" spans="1:6" ht="15.75" customHeight="1" x14ac:dyDescent="0.35">
      <c r="A943" s="1"/>
      <c r="B943" s="1"/>
      <c r="C943" s="1"/>
      <c r="D943" s="1"/>
      <c r="E943" s="1"/>
      <c r="F943" s="1"/>
    </row>
    <row r="944" spans="1:6" ht="15.75" customHeight="1" x14ac:dyDescent="0.35">
      <c r="A944" s="1"/>
      <c r="B944" s="1"/>
      <c r="C944" s="1"/>
      <c r="D944" s="1"/>
      <c r="E944" s="1"/>
      <c r="F944" s="1"/>
    </row>
    <row r="945" spans="1:6" ht="15.75" customHeight="1" x14ac:dyDescent="0.35">
      <c r="A945" s="1"/>
      <c r="B945" s="1"/>
      <c r="C945" s="1"/>
      <c r="D945" s="1"/>
      <c r="E945" s="1"/>
      <c r="F945" s="1"/>
    </row>
    <row r="946" spans="1:6" ht="15.75" customHeight="1" x14ac:dyDescent="0.35">
      <c r="A946" s="1"/>
      <c r="B946" s="1"/>
      <c r="C946" s="1"/>
      <c r="D946" s="1"/>
      <c r="E946" s="1"/>
      <c r="F946" s="1"/>
    </row>
    <row r="947" spans="1:6" ht="15.75" customHeight="1" x14ac:dyDescent="0.35">
      <c r="A947" s="1"/>
      <c r="B947" s="1"/>
      <c r="C947" s="1"/>
      <c r="D947" s="1"/>
      <c r="E947" s="1"/>
      <c r="F947" s="1"/>
    </row>
    <row r="948" spans="1:6" ht="15.75" customHeight="1" x14ac:dyDescent="0.35">
      <c r="A948" s="1"/>
      <c r="B948" s="1"/>
      <c r="C948" s="1"/>
      <c r="D948" s="1"/>
      <c r="E948" s="1"/>
      <c r="F948" s="1"/>
    </row>
    <row r="949" spans="1:6" ht="15.75" customHeight="1" x14ac:dyDescent="0.35">
      <c r="A949" s="1"/>
      <c r="B949" s="1"/>
      <c r="C949" s="1"/>
      <c r="D949" s="1"/>
      <c r="E949" s="1"/>
      <c r="F949" s="1"/>
    </row>
    <row r="950" spans="1:6" ht="15.75" customHeight="1" x14ac:dyDescent="0.35">
      <c r="A950" s="1"/>
      <c r="B950" s="1"/>
      <c r="C950" s="1"/>
      <c r="D950" s="1"/>
      <c r="E950" s="1"/>
      <c r="F950" s="1"/>
    </row>
    <row r="951" spans="1:6" ht="15.75" customHeight="1" x14ac:dyDescent="0.35">
      <c r="A951" s="1"/>
      <c r="B951" s="1"/>
      <c r="C951" s="1"/>
      <c r="D951" s="1"/>
      <c r="E951" s="1"/>
      <c r="F951" s="1"/>
    </row>
    <row r="952" spans="1:6" ht="15.75" customHeight="1" x14ac:dyDescent="0.35">
      <c r="A952" s="1"/>
      <c r="B952" s="1"/>
      <c r="C952" s="1"/>
      <c r="D952" s="1"/>
      <c r="E952" s="1"/>
      <c r="F952" s="1"/>
    </row>
    <row r="953" spans="1:6" ht="15.75" customHeight="1" x14ac:dyDescent="0.35">
      <c r="A953" s="1"/>
      <c r="B953" s="1"/>
      <c r="C953" s="1"/>
      <c r="D953" s="1"/>
      <c r="E953" s="1"/>
      <c r="F953" s="1"/>
    </row>
    <row r="954" spans="1:6" ht="15.75" customHeight="1" x14ac:dyDescent="0.35">
      <c r="A954" s="1"/>
      <c r="B954" s="1"/>
      <c r="C954" s="1"/>
      <c r="D954" s="1"/>
      <c r="E954" s="1"/>
      <c r="F954" s="1"/>
    </row>
    <row r="955" spans="1:6" ht="15.75" customHeight="1" x14ac:dyDescent="0.35">
      <c r="A955" s="1"/>
      <c r="B955" s="1"/>
      <c r="C955" s="1"/>
      <c r="D955" s="1"/>
      <c r="E955" s="1"/>
      <c r="F955" s="1"/>
    </row>
    <row r="956" spans="1:6" ht="15.75" customHeight="1" x14ac:dyDescent="0.35">
      <c r="A956" s="1"/>
      <c r="B956" s="1"/>
      <c r="C956" s="1"/>
      <c r="D956" s="1"/>
      <c r="E956" s="1"/>
      <c r="F956" s="1"/>
    </row>
    <row r="957" spans="1:6" ht="15.75" customHeight="1" x14ac:dyDescent="0.35">
      <c r="A957" s="1"/>
      <c r="B957" s="1"/>
      <c r="C957" s="1"/>
      <c r="D957" s="1"/>
      <c r="E957" s="1"/>
      <c r="F957" s="1"/>
    </row>
    <row r="958" spans="1:6" ht="15.75" customHeight="1" x14ac:dyDescent="0.35">
      <c r="A958" s="1"/>
      <c r="B958" s="1"/>
      <c r="C958" s="1"/>
      <c r="D958" s="1"/>
      <c r="E958" s="1"/>
      <c r="F958" s="1"/>
    </row>
    <row r="959" spans="1:6" ht="15.75" customHeight="1" x14ac:dyDescent="0.35">
      <c r="A959" s="1"/>
      <c r="B959" s="1"/>
      <c r="C959" s="1"/>
      <c r="D959" s="1"/>
      <c r="E959" s="1"/>
      <c r="F959" s="1"/>
    </row>
    <row r="960" spans="1:6" ht="15.75" customHeight="1" x14ac:dyDescent="0.35">
      <c r="A960" s="1"/>
      <c r="B960" s="1"/>
      <c r="C960" s="1"/>
      <c r="D960" s="1"/>
      <c r="E960" s="1"/>
      <c r="F960" s="1"/>
    </row>
    <row r="961" spans="1:6" ht="15.75" customHeight="1" x14ac:dyDescent="0.35">
      <c r="A961" s="1"/>
      <c r="B961" s="1"/>
      <c r="C961" s="1"/>
      <c r="D961" s="1"/>
      <c r="E961" s="1"/>
      <c r="F961" s="1"/>
    </row>
    <row r="962" spans="1:6" ht="15.75" customHeight="1" x14ac:dyDescent="0.35">
      <c r="A962" s="1"/>
      <c r="B962" s="1"/>
      <c r="C962" s="1"/>
      <c r="D962" s="1"/>
      <c r="E962" s="1"/>
      <c r="F962" s="1"/>
    </row>
    <row r="963" spans="1:6" ht="15.75" customHeight="1" x14ac:dyDescent="0.35">
      <c r="A963" s="1"/>
      <c r="B963" s="1"/>
      <c r="C963" s="1"/>
      <c r="D963" s="1"/>
      <c r="E963" s="1"/>
      <c r="F963" s="1"/>
    </row>
    <row r="964" spans="1:6" ht="15.75" customHeight="1" x14ac:dyDescent="0.35">
      <c r="A964" s="1"/>
      <c r="B964" s="1"/>
      <c r="C964" s="1"/>
      <c r="D964" s="1"/>
      <c r="E964" s="1"/>
      <c r="F964" s="1"/>
    </row>
    <row r="965" spans="1:6" ht="15.75" customHeight="1" x14ac:dyDescent="0.35">
      <c r="A965" s="1"/>
      <c r="B965" s="1"/>
      <c r="C965" s="1"/>
      <c r="D965" s="1"/>
      <c r="E965" s="1"/>
      <c r="F965" s="1"/>
    </row>
    <row r="966" spans="1:6" ht="15.75" customHeight="1" x14ac:dyDescent="0.35">
      <c r="A966" s="1"/>
      <c r="B966" s="1"/>
      <c r="C966" s="1"/>
      <c r="D966" s="1"/>
      <c r="E966" s="1"/>
      <c r="F966" s="1"/>
    </row>
    <row r="967" spans="1:6" ht="15.75" customHeight="1" x14ac:dyDescent="0.35">
      <c r="A967" s="1"/>
      <c r="B967" s="1"/>
      <c r="C967" s="1"/>
      <c r="D967" s="1"/>
      <c r="E967" s="1"/>
      <c r="F967" s="1"/>
    </row>
    <row r="968" spans="1:6" ht="15.75" customHeight="1" x14ac:dyDescent="0.35">
      <c r="A968" s="1"/>
      <c r="B968" s="1"/>
      <c r="C968" s="1"/>
      <c r="D968" s="1"/>
      <c r="E968" s="1"/>
      <c r="F968" s="1"/>
    </row>
    <row r="969" spans="1:6" ht="15.75" customHeight="1" x14ac:dyDescent="0.35">
      <c r="A969" s="1"/>
      <c r="B969" s="1"/>
      <c r="C969" s="1"/>
      <c r="D969" s="1"/>
      <c r="E969" s="1"/>
      <c r="F969" s="1"/>
    </row>
    <row r="970" spans="1:6" ht="15.75" customHeight="1" x14ac:dyDescent="0.35">
      <c r="A970" s="1"/>
      <c r="B970" s="1"/>
      <c r="C970" s="1"/>
      <c r="D970" s="1"/>
      <c r="E970" s="1"/>
      <c r="F970" s="1"/>
    </row>
    <row r="971" spans="1:6" ht="15.75" customHeight="1" x14ac:dyDescent="0.35">
      <c r="A971" s="1"/>
      <c r="B971" s="1"/>
      <c r="C971" s="1"/>
      <c r="D971" s="1"/>
      <c r="E971" s="1"/>
      <c r="F971" s="1"/>
    </row>
    <row r="972" spans="1:6" ht="15.75" customHeight="1" x14ac:dyDescent="0.35">
      <c r="A972" s="1"/>
      <c r="B972" s="1"/>
      <c r="C972" s="1"/>
      <c r="D972" s="1"/>
      <c r="E972" s="1"/>
      <c r="F972" s="1"/>
    </row>
    <row r="973" spans="1:6" ht="15.75" customHeight="1" x14ac:dyDescent="0.35">
      <c r="A973" s="1"/>
      <c r="B973" s="1"/>
      <c r="C973" s="1"/>
      <c r="D973" s="1"/>
      <c r="E973" s="1"/>
      <c r="F973" s="1"/>
    </row>
    <row r="974" spans="1:6" ht="15.75" customHeight="1" x14ac:dyDescent="0.35">
      <c r="A974" s="1"/>
      <c r="B974" s="1"/>
      <c r="C974" s="1"/>
      <c r="D974" s="1"/>
      <c r="E974" s="1"/>
      <c r="F974" s="1"/>
    </row>
    <row r="975" spans="1:6" ht="15.75" customHeight="1" x14ac:dyDescent="0.35">
      <c r="A975" s="1"/>
      <c r="B975" s="1"/>
      <c r="C975" s="1"/>
      <c r="D975" s="1"/>
      <c r="E975" s="1"/>
      <c r="F975" s="1"/>
    </row>
    <row r="976" spans="1:6" ht="15.75" customHeight="1" x14ac:dyDescent="0.35">
      <c r="A976" s="1"/>
      <c r="B976" s="1"/>
      <c r="C976" s="1"/>
      <c r="D976" s="1"/>
      <c r="E976" s="1"/>
      <c r="F976" s="1"/>
    </row>
    <row r="977" spans="1:6" ht="15.75" customHeight="1" x14ac:dyDescent="0.35">
      <c r="A977" s="1"/>
      <c r="B977" s="1"/>
      <c r="C977" s="1"/>
      <c r="D977" s="1"/>
      <c r="E977" s="1"/>
      <c r="F977" s="1"/>
    </row>
    <row r="978" spans="1:6" ht="15.75" customHeight="1" x14ac:dyDescent="0.35">
      <c r="A978" s="1"/>
      <c r="B978" s="1"/>
      <c r="C978" s="1"/>
      <c r="D978" s="1"/>
      <c r="E978" s="1"/>
      <c r="F978" s="1"/>
    </row>
    <row r="979" spans="1:6" ht="15.75" customHeight="1" x14ac:dyDescent="0.35">
      <c r="A979" s="1"/>
      <c r="B979" s="1"/>
      <c r="C979" s="1"/>
      <c r="D979" s="1"/>
      <c r="E979" s="1"/>
      <c r="F979" s="1"/>
    </row>
    <row r="980" spans="1:6" ht="15.75" customHeight="1" x14ac:dyDescent="0.35">
      <c r="A980" s="1"/>
      <c r="B980" s="1"/>
      <c r="C980" s="1"/>
      <c r="D980" s="1"/>
      <c r="E980" s="1"/>
      <c r="F980" s="1"/>
    </row>
    <row r="981" spans="1:6" ht="15.75" customHeight="1" x14ac:dyDescent="0.35">
      <c r="A981" s="1"/>
      <c r="B981" s="1"/>
      <c r="C981" s="1"/>
      <c r="D981" s="1"/>
      <c r="E981" s="1"/>
      <c r="F981" s="1"/>
    </row>
    <row r="982" spans="1:6" ht="15.75" customHeight="1" x14ac:dyDescent="0.35">
      <c r="A982" s="1"/>
      <c r="B982" s="1"/>
      <c r="C982" s="1"/>
      <c r="D982" s="1"/>
      <c r="E982" s="1"/>
      <c r="F982" s="1"/>
    </row>
    <row r="983" spans="1:6" ht="15.75" customHeight="1" x14ac:dyDescent="0.35">
      <c r="A983" s="1"/>
      <c r="B983" s="1"/>
      <c r="C983" s="1"/>
      <c r="D983" s="1"/>
      <c r="E983" s="1"/>
      <c r="F983" s="1"/>
    </row>
    <row r="984" spans="1:6" ht="15.75" customHeight="1" x14ac:dyDescent="0.35">
      <c r="A984" s="1"/>
      <c r="B984" s="1"/>
      <c r="C984" s="1"/>
      <c r="D984" s="1"/>
      <c r="E984" s="1"/>
      <c r="F984" s="1"/>
    </row>
    <row r="985" spans="1:6" ht="15.75" customHeight="1" x14ac:dyDescent="0.35">
      <c r="A985" s="1"/>
      <c r="B985" s="1"/>
      <c r="C985" s="1"/>
      <c r="D985" s="1"/>
      <c r="E985" s="1"/>
      <c r="F985" s="1"/>
    </row>
    <row r="986" spans="1:6" ht="15.75" customHeight="1" x14ac:dyDescent="0.35">
      <c r="A986" s="1"/>
      <c r="B986" s="1"/>
      <c r="C986" s="1"/>
      <c r="D986" s="1"/>
      <c r="E986" s="1"/>
      <c r="F986" s="1"/>
    </row>
    <row r="987" spans="1:6" ht="15.75" customHeight="1" x14ac:dyDescent="0.35">
      <c r="A987" s="1"/>
      <c r="B987" s="1"/>
      <c r="C987" s="1"/>
      <c r="D987" s="1"/>
      <c r="E987" s="1"/>
      <c r="F987" s="1"/>
    </row>
    <row r="988" spans="1:6" ht="15.75" customHeight="1" x14ac:dyDescent="0.35">
      <c r="A988" s="1"/>
      <c r="B988" s="1"/>
      <c r="C988" s="1"/>
      <c r="D988" s="1"/>
      <c r="E988" s="1"/>
      <c r="F988" s="1"/>
    </row>
    <row r="989" spans="1:6" ht="15.75" customHeight="1" x14ac:dyDescent="0.35">
      <c r="A989" s="1"/>
      <c r="B989" s="1"/>
      <c r="C989" s="1"/>
      <c r="D989" s="1"/>
      <c r="E989" s="1"/>
      <c r="F989" s="1"/>
    </row>
    <row r="990" spans="1:6" ht="15.75" customHeight="1" x14ac:dyDescent="0.35">
      <c r="A990" s="1"/>
      <c r="B990" s="1"/>
      <c r="C990" s="1"/>
      <c r="D990" s="1"/>
      <c r="E990" s="1"/>
      <c r="F990" s="1"/>
    </row>
    <row r="991" spans="1:6" ht="15.75" customHeight="1" x14ac:dyDescent="0.35">
      <c r="A991" s="1"/>
      <c r="B991" s="1"/>
      <c r="C991" s="1"/>
      <c r="D991" s="1"/>
      <c r="E991" s="1"/>
      <c r="F991" s="1"/>
    </row>
    <row r="992" spans="1:6" ht="15.75" customHeight="1" x14ac:dyDescent="0.35">
      <c r="A992" s="1"/>
      <c r="B992" s="1"/>
      <c r="C992" s="1"/>
      <c r="D992" s="1"/>
      <c r="E992" s="1"/>
      <c r="F992" s="1"/>
    </row>
    <row r="993" spans="1:6" ht="15.75" customHeight="1" x14ac:dyDescent="0.35">
      <c r="A993" s="1"/>
      <c r="B993" s="1"/>
      <c r="C993" s="1"/>
      <c r="D993" s="1"/>
      <c r="E993" s="1"/>
      <c r="F993" s="1"/>
    </row>
    <row r="994" spans="1:6" ht="15.75" customHeight="1" x14ac:dyDescent="0.35">
      <c r="A994" s="1"/>
      <c r="B994" s="1"/>
      <c r="C994" s="1"/>
      <c r="D994" s="1"/>
      <c r="E994" s="1"/>
      <c r="F994" s="1"/>
    </row>
    <row r="995" spans="1:6" ht="15.75" customHeight="1" x14ac:dyDescent="0.35">
      <c r="A995" s="1"/>
      <c r="B995" s="1"/>
      <c r="C995" s="1"/>
      <c r="D995" s="1"/>
      <c r="E995" s="1"/>
      <c r="F995" s="1"/>
    </row>
    <row r="996" spans="1:6" ht="15.75" customHeight="1" x14ac:dyDescent="0.35">
      <c r="A996" s="1"/>
      <c r="B996" s="1"/>
      <c r="C996" s="1"/>
      <c r="D996" s="1"/>
      <c r="E996" s="1"/>
      <c r="F996" s="1"/>
    </row>
    <row r="997" spans="1:6" ht="15.75" customHeight="1" x14ac:dyDescent="0.35">
      <c r="A997" s="1"/>
      <c r="B997" s="1"/>
      <c r="C997" s="1"/>
      <c r="D997" s="1"/>
      <c r="E997" s="1"/>
      <c r="F997" s="1"/>
    </row>
    <row r="998" spans="1:6" ht="15.75" customHeight="1" x14ac:dyDescent="0.35">
      <c r="A998" s="1"/>
      <c r="B998" s="1"/>
      <c r="C998" s="1"/>
      <c r="D998" s="1"/>
      <c r="E998" s="1"/>
      <c r="F998" s="1"/>
    </row>
    <row r="999" spans="1:6" ht="15.75" customHeight="1" x14ac:dyDescent="0.35">
      <c r="A999" s="1"/>
      <c r="B999" s="1"/>
      <c r="C999" s="1"/>
      <c r="D999" s="1"/>
      <c r="E999" s="1"/>
      <c r="F999" s="1"/>
    </row>
  </sheetData>
  <mergeCells count="1">
    <mergeCell ref="A1:F1"/>
  </mergeCells>
  <pageMargins left="0.75" right="0.75" top="1" bottom="1" header="0" footer="0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000"/>
  <sheetViews>
    <sheetView showGridLines="0" tabSelected="1" workbookViewId="0">
      <selection sqref="A1:P1"/>
    </sheetView>
  </sheetViews>
  <sheetFormatPr baseColWidth="10" defaultColWidth="14.453125" defaultRowHeight="15" customHeight="1" x14ac:dyDescent="0.35"/>
  <cols>
    <col min="1" max="1" width="10" customWidth="1"/>
    <col min="2" max="2" width="26" customWidth="1"/>
    <col min="3" max="3" width="38" customWidth="1"/>
    <col min="4" max="4" width="20" customWidth="1"/>
    <col min="5" max="5" width="92" customWidth="1"/>
    <col min="6" max="6" width="12" customWidth="1"/>
    <col min="7" max="7" width="11" customWidth="1"/>
    <col min="8" max="8" width="20" customWidth="1"/>
    <col min="9" max="9" width="11" customWidth="1"/>
    <col min="10" max="11" width="24" customWidth="1"/>
    <col min="12" max="12" width="11" customWidth="1"/>
    <col min="13" max="13" width="52" customWidth="1"/>
    <col min="14" max="14" width="26" customWidth="1"/>
    <col min="15" max="15" width="14" customWidth="1"/>
    <col min="16" max="16" width="48" customWidth="1"/>
  </cols>
  <sheetData>
    <row r="1" spans="1:26" ht="33.75" customHeight="1" x14ac:dyDescent="0.35">
      <c r="A1" s="28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 customHeight="1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4.5" customHeight="1" x14ac:dyDescent="0.35">
      <c r="A3" s="5" t="s">
        <v>17</v>
      </c>
      <c r="B3" s="6" t="s">
        <v>18</v>
      </c>
      <c r="C3" s="6" t="s">
        <v>19</v>
      </c>
      <c r="D3" s="6" t="s">
        <v>20</v>
      </c>
      <c r="E3" s="6" t="s">
        <v>21</v>
      </c>
      <c r="F3" s="8">
        <v>2</v>
      </c>
      <c r="G3" s="11" t="s">
        <v>22</v>
      </c>
      <c r="H3" s="13" t="s">
        <v>23</v>
      </c>
      <c r="I3" s="8" t="s">
        <v>24</v>
      </c>
      <c r="J3" s="13" t="s">
        <v>25</v>
      </c>
      <c r="K3" s="13" t="s">
        <v>26</v>
      </c>
      <c r="L3" s="13" t="s">
        <v>27</v>
      </c>
      <c r="M3" s="21" t="s">
        <v>28</v>
      </c>
      <c r="N3" s="21" t="s">
        <v>29</v>
      </c>
      <c r="O3" s="22" t="s">
        <v>30</v>
      </c>
      <c r="P3" s="21" t="s">
        <v>31</v>
      </c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9.25" customHeight="1" x14ac:dyDescent="0.35">
      <c r="A4" s="5" t="s">
        <v>32</v>
      </c>
      <c r="B4" s="6" t="s">
        <v>18</v>
      </c>
      <c r="C4" s="6" t="s">
        <v>33</v>
      </c>
      <c r="D4" s="6" t="s">
        <v>20</v>
      </c>
      <c r="E4" s="6" t="s">
        <v>34</v>
      </c>
      <c r="F4" s="8">
        <v>1</v>
      </c>
      <c r="G4" s="11" t="s">
        <v>35</v>
      </c>
      <c r="H4" s="13" t="s">
        <v>36</v>
      </c>
      <c r="I4" s="8" t="s">
        <v>24</v>
      </c>
      <c r="J4" s="13" t="s">
        <v>17</v>
      </c>
      <c r="K4" s="13" t="s">
        <v>26</v>
      </c>
      <c r="L4" s="13" t="s">
        <v>37</v>
      </c>
      <c r="M4" s="21" t="s">
        <v>38</v>
      </c>
      <c r="N4" s="21" t="s">
        <v>39</v>
      </c>
      <c r="O4" s="22" t="s">
        <v>30</v>
      </c>
      <c r="P4" s="21" t="s">
        <v>40</v>
      </c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9.25" customHeight="1" x14ac:dyDescent="0.35">
      <c r="A5" s="5" t="s">
        <v>41</v>
      </c>
      <c r="B5" s="6" t="s">
        <v>18</v>
      </c>
      <c r="C5" s="6" t="s">
        <v>42</v>
      </c>
      <c r="D5" s="6" t="s">
        <v>43</v>
      </c>
      <c r="E5" s="6" t="s">
        <v>44</v>
      </c>
      <c r="F5" s="8">
        <v>2</v>
      </c>
      <c r="G5" s="11" t="s">
        <v>22</v>
      </c>
      <c r="H5" s="13" t="s">
        <v>45</v>
      </c>
      <c r="I5" s="8" t="s">
        <v>24</v>
      </c>
      <c r="J5" s="13" t="s">
        <v>46</v>
      </c>
      <c r="K5" s="13" t="s">
        <v>26</v>
      </c>
      <c r="L5" s="13" t="s">
        <v>37</v>
      </c>
      <c r="M5" s="21" t="s">
        <v>47</v>
      </c>
      <c r="N5" s="21" t="s">
        <v>48</v>
      </c>
      <c r="O5" s="22" t="s">
        <v>30</v>
      </c>
      <c r="P5" s="2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1" customHeight="1" x14ac:dyDescent="0.35">
      <c r="A6" s="5" t="s">
        <v>49</v>
      </c>
      <c r="B6" s="6" t="s">
        <v>18</v>
      </c>
      <c r="C6" s="6" t="s">
        <v>50</v>
      </c>
      <c r="D6" s="6" t="s">
        <v>43</v>
      </c>
      <c r="E6" s="6" t="s">
        <v>51</v>
      </c>
      <c r="F6" s="8">
        <v>1</v>
      </c>
      <c r="G6" s="11" t="s">
        <v>22</v>
      </c>
      <c r="H6" s="13" t="s">
        <v>52</v>
      </c>
      <c r="I6" s="8" t="s">
        <v>24</v>
      </c>
      <c r="J6" s="13" t="s">
        <v>41</v>
      </c>
      <c r="K6" s="13" t="s">
        <v>26</v>
      </c>
      <c r="L6" s="13" t="s">
        <v>53</v>
      </c>
      <c r="M6" s="21" t="s">
        <v>54</v>
      </c>
      <c r="N6" s="21" t="s">
        <v>55</v>
      </c>
      <c r="O6" s="22" t="s">
        <v>30</v>
      </c>
      <c r="P6" s="2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9.25" customHeight="1" x14ac:dyDescent="0.35">
      <c r="A7" s="5" t="s">
        <v>56</v>
      </c>
      <c r="B7" s="6" t="s">
        <v>18</v>
      </c>
      <c r="C7" s="6" t="s">
        <v>57</v>
      </c>
      <c r="D7" s="6" t="s">
        <v>43</v>
      </c>
      <c r="E7" s="6" t="s">
        <v>58</v>
      </c>
      <c r="F7" s="8">
        <v>1</v>
      </c>
      <c r="G7" s="11" t="s">
        <v>35</v>
      </c>
      <c r="H7" s="13" t="s">
        <v>59</v>
      </c>
      <c r="I7" s="8" t="s">
        <v>24</v>
      </c>
      <c r="J7" s="13" t="s">
        <v>41</v>
      </c>
      <c r="K7" s="13" t="s">
        <v>26</v>
      </c>
      <c r="L7" s="13" t="s">
        <v>60</v>
      </c>
      <c r="M7" s="21" t="s">
        <v>61</v>
      </c>
      <c r="N7" s="21" t="s">
        <v>62</v>
      </c>
      <c r="O7" s="22" t="s">
        <v>30</v>
      </c>
      <c r="P7" s="21" t="s">
        <v>63</v>
      </c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1" customHeight="1" x14ac:dyDescent="0.35">
      <c r="A8" s="5" t="s">
        <v>64</v>
      </c>
      <c r="B8" s="6" t="s">
        <v>18</v>
      </c>
      <c r="C8" s="6" t="s">
        <v>65</v>
      </c>
      <c r="D8" s="6" t="s">
        <v>43</v>
      </c>
      <c r="E8" s="6" t="s">
        <v>66</v>
      </c>
      <c r="F8" s="8">
        <v>2</v>
      </c>
      <c r="G8" s="11" t="s">
        <v>35</v>
      </c>
      <c r="H8" s="13" t="s">
        <v>67</v>
      </c>
      <c r="I8" s="8" t="s">
        <v>24</v>
      </c>
      <c r="J8" s="13" t="s">
        <v>41</v>
      </c>
      <c r="K8" s="13" t="s">
        <v>26</v>
      </c>
      <c r="L8" s="13" t="s">
        <v>68</v>
      </c>
      <c r="M8" s="21" t="s">
        <v>69</v>
      </c>
      <c r="N8" s="21" t="s">
        <v>70</v>
      </c>
      <c r="O8" s="22" t="s">
        <v>30</v>
      </c>
      <c r="P8" s="21" t="s">
        <v>71</v>
      </c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9.25" customHeight="1" x14ac:dyDescent="0.35">
      <c r="A9" s="5" t="s">
        <v>72</v>
      </c>
      <c r="B9" s="6" t="s">
        <v>73</v>
      </c>
      <c r="C9" s="6" t="s">
        <v>74</v>
      </c>
      <c r="D9" s="6" t="s">
        <v>43</v>
      </c>
      <c r="E9" s="6" t="s">
        <v>75</v>
      </c>
      <c r="F9" s="8">
        <v>1</v>
      </c>
      <c r="G9" s="11" t="s">
        <v>22</v>
      </c>
      <c r="H9" s="13" t="s">
        <v>76</v>
      </c>
      <c r="I9" s="8" t="s">
        <v>24</v>
      </c>
      <c r="J9" s="13" t="s">
        <v>25</v>
      </c>
      <c r="K9" s="13" t="s">
        <v>26</v>
      </c>
      <c r="L9" s="13" t="s">
        <v>37</v>
      </c>
      <c r="M9" s="21" t="s">
        <v>77</v>
      </c>
      <c r="N9" s="21" t="s">
        <v>78</v>
      </c>
      <c r="O9" s="22" t="s">
        <v>30</v>
      </c>
      <c r="P9" s="2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9.25" customHeight="1" x14ac:dyDescent="0.35">
      <c r="A10" s="5" t="s">
        <v>79</v>
      </c>
      <c r="B10" s="6" t="s">
        <v>73</v>
      </c>
      <c r="C10" s="6" t="s">
        <v>80</v>
      </c>
      <c r="D10" s="6" t="s">
        <v>43</v>
      </c>
      <c r="E10" s="6" t="s">
        <v>81</v>
      </c>
      <c r="F10" s="8">
        <v>1</v>
      </c>
      <c r="G10" s="11" t="s">
        <v>22</v>
      </c>
      <c r="H10" s="13" t="s">
        <v>82</v>
      </c>
      <c r="I10" s="8" t="s">
        <v>24</v>
      </c>
      <c r="J10" s="13" t="s">
        <v>72</v>
      </c>
      <c r="K10" s="13" t="s">
        <v>26</v>
      </c>
      <c r="L10" s="13" t="s">
        <v>83</v>
      </c>
      <c r="M10" s="21" t="s">
        <v>84</v>
      </c>
      <c r="N10" s="21" t="s">
        <v>85</v>
      </c>
      <c r="O10" s="22" t="s">
        <v>30</v>
      </c>
      <c r="P10" s="2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9.25" customHeight="1" x14ac:dyDescent="0.35">
      <c r="A11" s="5" t="s">
        <v>86</v>
      </c>
      <c r="B11" s="6" t="s">
        <v>73</v>
      </c>
      <c r="C11" s="6" t="s">
        <v>87</v>
      </c>
      <c r="D11" s="6" t="s">
        <v>43</v>
      </c>
      <c r="E11" s="6" t="s">
        <v>88</v>
      </c>
      <c r="F11" s="8">
        <v>1</v>
      </c>
      <c r="G11" s="11" t="s">
        <v>35</v>
      </c>
      <c r="H11" s="13" t="s">
        <v>89</v>
      </c>
      <c r="I11" s="8" t="s">
        <v>24</v>
      </c>
      <c r="J11" s="13" t="s">
        <v>72</v>
      </c>
      <c r="K11" s="13" t="s">
        <v>26</v>
      </c>
      <c r="L11" s="13" t="s">
        <v>60</v>
      </c>
      <c r="M11" s="21" t="s">
        <v>84</v>
      </c>
      <c r="N11" s="21" t="s">
        <v>90</v>
      </c>
      <c r="O11" s="22" t="s">
        <v>30</v>
      </c>
      <c r="P11" s="21" t="s">
        <v>91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44.5" customHeight="1" x14ac:dyDescent="0.35">
      <c r="A12" s="5" t="s">
        <v>92</v>
      </c>
      <c r="B12" s="6" t="s">
        <v>73</v>
      </c>
      <c r="C12" s="6" t="s">
        <v>93</v>
      </c>
      <c r="D12" s="6" t="s">
        <v>43</v>
      </c>
      <c r="E12" s="6" t="s">
        <v>94</v>
      </c>
      <c r="F12" s="8">
        <v>1</v>
      </c>
      <c r="G12" s="11" t="s">
        <v>35</v>
      </c>
      <c r="H12" s="13" t="s">
        <v>95</v>
      </c>
      <c r="I12" s="8" t="s">
        <v>24</v>
      </c>
      <c r="J12" s="13" t="s">
        <v>72</v>
      </c>
      <c r="K12" s="13" t="s">
        <v>26</v>
      </c>
      <c r="L12" s="13" t="s">
        <v>96</v>
      </c>
      <c r="M12" s="21" t="s">
        <v>97</v>
      </c>
      <c r="N12" s="21" t="s">
        <v>98</v>
      </c>
      <c r="O12" s="22" t="s">
        <v>30</v>
      </c>
      <c r="P12" s="2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1" customHeight="1" x14ac:dyDescent="0.35">
      <c r="A13" s="5" t="s">
        <v>99</v>
      </c>
      <c r="B13" s="6" t="s">
        <v>73</v>
      </c>
      <c r="C13" s="6" t="s">
        <v>100</v>
      </c>
      <c r="D13" s="6" t="s">
        <v>43</v>
      </c>
      <c r="E13" s="6" t="s">
        <v>101</v>
      </c>
      <c r="F13" s="8">
        <v>3</v>
      </c>
      <c r="G13" s="11" t="s">
        <v>22</v>
      </c>
      <c r="H13" s="13" t="s">
        <v>102</v>
      </c>
      <c r="I13" s="8" t="s">
        <v>24</v>
      </c>
      <c r="J13" s="13" t="s">
        <v>72</v>
      </c>
      <c r="K13" s="13" t="s">
        <v>26</v>
      </c>
      <c r="L13" s="13" t="s">
        <v>103</v>
      </c>
      <c r="M13" s="21" t="s">
        <v>104</v>
      </c>
      <c r="N13" s="21" t="s">
        <v>105</v>
      </c>
      <c r="O13" s="22" t="s">
        <v>30</v>
      </c>
      <c r="P13" s="21" t="s">
        <v>106</v>
      </c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9.25" customHeight="1" x14ac:dyDescent="0.35">
      <c r="A14" s="5" t="s">
        <v>107</v>
      </c>
      <c r="B14" s="6" t="s">
        <v>73</v>
      </c>
      <c r="C14" s="6" t="s">
        <v>108</v>
      </c>
      <c r="D14" s="6" t="s">
        <v>43</v>
      </c>
      <c r="E14" s="6" t="s">
        <v>109</v>
      </c>
      <c r="F14" s="8">
        <v>1</v>
      </c>
      <c r="G14" s="11" t="s">
        <v>22</v>
      </c>
      <c r="H14" s="13" t="s">
        <v>110</v>
      </c>
      <c r="I14" s="8" t="s">
        <v>24</v>
      </c>
      <c r="J14" s="13" t="s">
        <v>111</v>
      </c>
      <c r="K14" s="13" t="s">
        <v>26</v>
      </c>
      <c r="L14" s="13" t="s">
        <v>83</v>
      </c>
      <c r="M14" s="21" t="s">
        <v>112</v>
      </c>
      <c r="N14" s="21" t="s">
        <v>113</v>
      </c>
      <c r="O14" s="22" t="s">
        <v>30</v>
      </c>
      <c r="P14" s="2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9.25" customHeight="1" x14ac:dyDescent="0.35">
      <c r="A15" s="5" t="s">
        <v>114</v>
      </c>
      <c r="B15" s="6" t="s">
        <v>73</v>
      </c>
      <c r="C15" s="6" t="s">
        <v>115</v>
      </c>
      <c r="D15" s="6" t="s">
        <v>116</v>
      </c>
      <c r="E15" s="6" t="s">
        <v>117</v>
      </c>
      <c r="F15" s="8">
        <v>3</v>
      </c>
      <c r="G15" s="11" t="s">
        <v>22</v>
      </c>
      <c r="H15" s="13" t="s">
        <v>118</v>
      </c>
      <c r="I15" s="8" t="s">
        <v>24</v>
      </c>
      <c r="J15" s="13" t="s">
        <v>119</v>
      </c>
      <c r="K15" s="13" t="s">
        <v>26</v>
      </c>
      <c r="L15" s="13" t="s">
        <v>120</v>
      </c>
      <c r="M15" s="21" t="s">
        <v>121</v>
      </c>
      <c r="N15" s="21" t="s">
        <v>120</v>
      </c>
      <c r="O15" s="22" t="s">
        <v>30</v>
      </c>
      <c r="P15" s="21" t="s">
        <v>122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1" customHeight="1" x14ac:dyDescent="0.35">
      <c r="A16" s="5" t="s">
        <v>123</v>
      </c>
      <c r="B16" s="6" t="s">
        <v>73</v>
      </c>
      <c r="C16" s="6" t="s">
        <v>124</v>
      </c>
      <c r="D16" s="6" t="s">
        <v>116</v>
      </c>
      <c r="E16" s="6" t="s">
        <v>125</v>
      </c>
      <c r="F16" s="8">
        <v>3</v>
      </c>
      <c r="G16" s="11" t="s">
        <v>22</v>
      </c>
      <c r="H16" s="13" t="s">
        <v>126</v>
      </c>
      <c r="I16" s="8" t="s">
        <v>24</v>
      </c>
      <c r="J16" s="13" t="s">
        <v>127</v>
      </c>
      <c r="K16" s="13" t="s">
        <v>26</v>
      </c>
      <c r="L16" s="13" t="s">
        <v>68</v>
      </c>
      <c r="M16" s="21" t="s">
        <v>128</v>
      </c>
      <c r="N16" s="21" t="s">
        <v>129</v>
      </c>
      <c r="O16" s="22" t="s">
        <v>30</v>
      </c>
      <c r="P16" s="21" t="s">
        <v>130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58" customHeight="1" x14ac:dyDescent="0.35">
      <c r="A17" s="5" t="s">
        <v>131</v>
      </c>
      <c r="B17" s="6" t="s">
        <v>132</v>
      </c>
      <c r="C17" s="6" t="s">
        <v>133</v>
      </c>
      <c r="D17" s="6" t="s">
        <v>43</v>
      </c>
      <c r="E17" s="6" t="s">
        <v>134</v>
      </c>
      <c r="F17" s="8">
        <v>1</v>
      </c>
      <c r="G17" s="11" t="s">
        <v>22</v>
      </c>
      <c r="H17" s="13" t="s">
        <v>135</v>
      </c>
      <c r="I17" s="8" t="s">
        <v>136</v>
      </c>
      <c r="J17" s="13" t="s">
        <v>25</v>
      </c>
      <c r="K17" s="13" t="s">
        <v>26</v>
      </c>
      <c r="L17" s="13" t="s">
        <v>137</v>
      </c>
      <c r="M17" s="21" t="s">
        <v>138</v>
      </c>
      <c r="N17" s="21" t="s">
        <v>139</v>
      </c>
      <c r="O17" s="22" t="s">
        <v>30</v>
      </c>
      <c r="P17" s="21" t="s">
        <v>140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58" customHeight="1" x14ac:dyDescent="0.35">
      <c r="A18" s="5" t="s">
        <v>141</v>
      </c>
      <c r="B18" s="6" t="s">
        <v>132</v>
      </c>
      <c r="C18" s="6" t="s">
        <v>142</v>
      </c>
      <c r="D18" s="6" t="s">
        <v>43</v>
      </c>
      <c r="E18" s="6" t="s">
        <v>143</v>
      </c>
      <c r="F18" s="8">
        <v>1</v>
      </c>
      <c r="G18" s="11" t="s">
        <v>22</v>
      </c>
      <c r="H18" s="13" t="s">
        <v>144</v>
      </c>
      <c r="I18" s="8" t="s">
        <v>24</v>
      </c>
      <c r="J18" s="13" t="s">
        <v>25</v>
      </c>
      <c r="K18" s="13" t="s">
        <v>26</v>
      </c>
      <c r="L18" s="13" t="s">
        <v>137</v>
      </c>
      <c r="M18" s="21" t="s">
        <v>145</v>
      </c>
      <c r="N18" s="21" t="s">
        <v>139</v>
      </c>
      <c r="O18" s="22" t="s">
        <v>30</v>
      </c>
      <c r="P18" s="21" t="s">
        <v>140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9.25" customHeight="1" x14ac:dyDescent="0.35">
      <c r="A19" s="5" t="s">
        <v>146</v>
      </c>
      <c r="B19" s="6" t="s">
        <v>132</v>
      </c>
      <c r="C19" s="6" t="s">
        <v>147</v>
      </c>
      <c r="D19" s="6" t="s">
        <v>148</v>
      </c>
      <c r="E19" s="6" t="s">
        <v>149</v>
      </c>
      <c r="F19" s="8">
        <v>3</v>
      </c>
      <c r="G19" s="11" t="s">
        <v>22</v>
      </c>
      <c r="H19" s="13" t="s">
        <v>150</v>
      </c>
      <c r="I19" s="8" t="s">
        <v>24</v>
      </c>
      <c r="J19" s="13" t="s">
        <v>151</v>
      </c>
      <c r="K19" s="13" t="s">
        <v>152</v>
      </c>
      <c r="L19" s="13" t="s">
        <v>37</v>
      </c>
      <c r="M19" s="21" t="s">
        <v>153</v>
      </c>
      <c r="N19" s="21" t="s">
        <v>154</v>
      </c>
      <c r="O19" s="23" t="s">
        <v>155</v>
      </c>
      <c r="P19" s="21" t="s">
        <v>156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9.25" customHeight="1" x14ac:dyDescent="0.35">
      <c r="A20" s="5" t="s">
        <v>157</v>
      </c>
      <c r="B20" s="6" t="s">
        <v>132</v>
      </c>
      <c r="C20" s="6" t="s">
        <v>158</v>
      </c>
      <c r="D20" s="6" t="s">
        <v>148</v>
      </c>
      <c r="E20" s="6" t="s">
        <v>159</v>
      </c>
      <c r="F20" s="8">
        <v>1</v>
      </c>
      <c r="G20" s="11" t="s">
        <v>22</v>
      </c>
      <c r="H20" s="13" t="s">
        <v>160</v>
      </c>
      <c r="I20" s="8" t="s">
        <v>24</v>
      </c>
      <c r="J20" s="13" t="s">
        <v>146</v>
      </c>
      <c r="K20" s="13" t="s">
        <v>152</v>
      </c>
      <c r="L20" s="13" t="s">
        <v>37</v>
      </c>
      <c r="M20" s="21" t="s">
        <v>153</v>
      </c>
      <c r="N20" s="21" t="s">
        <v>154</v>
      </c>
      <c r="O20" s="23" t="s">
        <v>155</v>
      </c>
      <c r="P20" s="21" t="s">
        <v>161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42" customHeight="1" x14ac:dyDescent="0.35">
      <c r="A21" s="5" t="s">
        <v>162</v>
      </c>
      <c r="B21" s="6" t="s">
        <v>132</v>
      </c>
      <c r="C21" s="6" t="s">
        <v>163</v>
      </c>
      <c r="D21" s="6" t="s">
        <v>148</v>
      </c>
      <c r="E21" s="6" t="s">
        <v>164</v>
      </c>
      <c r="F21" s="8">
        <v>2</v>
      </c>
      <c r="G21" s="11" t="s">
        <v>22</v>
      </c>
      <c r="H21" s="13" t="s">
        <v>165</v>
      </c>
      <c r="I21" s="8" t="s">
        <v>24</v>
      </c>
      <c r="J21" s="13" t="s">
        <v>146</v>
      </c>
      <c r="K21" s="13" t="s">
        <v>152</v>
      </c>
      <c r="L21" s="13" t="s">
        <v>166</v>
      </c>
      <c r="M21" s="21" t="s">
        <v>167</v>
      </c>
      <c r="N21" s="21" t="s">
        <v>154</v>
      </c>
      <c r="O21" s="23" t="s">
        <v>155</v>
      </c>
      <c r="P21" s="21" t="s">
        <v>168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9.25" customHeight="1" x14ac:dyDescent="0.35">
      <c r="A22" s="5" t="s">
        <v>169</v>
      </c>
      <c r="B22" s="6" t="s">
        <v>132</v>
      </c>
      <c r="C22" s="6" t="s">
        <v>170</v>
      </c>
      <c r="D22" s="6" t="s">
        <v>171</v>
      </c>
      <c r="E22" s="6" t="s">
        <v>172</v>
      </c>
      <c r="F22" s="8">
        <v>1</v>
      </c>
      <c r="G22" s="11" t="s">
        <v>22</v>
      </c>
      <c r="H22" s="13" t="s">
        <v>173</v>
      </c>
      <c r="I22" s="8" t="s">
        <v>24</v>
      </c>
      <c r="J22" s="13" t="s">
        <v>146</v>
      </c>
      <c r="K22" s="13" t="s">
        <v>152</v>
      </c>
      <c r="L22" s="13" t="s">
        <v>174</v>
      </c>
      <c r="M22" s="21" t="s">
        <v>175</v>
      </c>
      <c r="N22" s="21" t="s">
        <v>176</v>
      </c>
      <c r="O22" s="23" t="s">
        <v>155</v>
      </c>
      <c r="P22" s="21" t="s">
        <v>177</v>
      </c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9.25" customHeight="1" x14ac:dyDescent="0.35">
      <c r="A23" s="5" t="s">
        <v>178</v>
      </c>
      <c r="B23" s="6" t="s">
        <v>132</v>
      </c>
      <c r="C23" s="6" t="s">
        <v>179</v>
      </c>
      <c r="D23" s="6" t="s">
        <v>148</v>
      </c>
      <c r="E23" s="6" t="s">
        <v>180</v>
      </c>
      <c r="F23" s="8">
        <v>1</v>
      </c>
      <c r="G23" s="11" t="s">
        <v>35</v>
      </c>
      <c r="H23" s="13" t="s">
        <v>181</v>
      </c>
      <c r="I23" s="8" t="s">
        <v>136</v>
      </c>
      <c r="J23" s="13" t="s">
        <v>182</v>
      </c>
      <c r="K23" s="13" t="s">
        <v>152</v>
      </c>
      <c r="L23" s="13" t="s">
        <v>183</v>
      </c>
      <c r="M23" s="21" t="s">
        <v>184</v>
      </c>
      <c r="N23" s="21" t="s">
        <v>185</v>
      </c>
      <c r="O23" s="23" t="s">
        <v>155</v>
      </c>
      <c r="P23" s="21" t="s">
        <v>186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58" customHeight="1" x14ac:dyDescent="0.35">
      <c r="A24" s="5" t="s">
        <v>187</v>
      </c>
      <c r="B24" s="6" t="s">
        <v>132</v>
      </c>
      <c r="C24" s="6" t="s">
        <v>188</v>
      </c>
      <c r="D24" s="6" t="s">
        <v>148</v>
      </c>
      <c r="E24" s="6" t="s">
        <v>189</v>
      </c>
      <c r="F24" s="8">
        <v>1</v>
      </c>
      <c r="G24" s="11" t="s">
        <v>35</v>
      </c>
      <c r="H24" s="13" t="s">
        <v>190</v>
      </c>
      <c r="I24" s="8" t="s">
        <v>191</v>
      </c>
      <c r="J24" s="13" t="s">
        <v>25</v>
      </c>
      <c r="K24" s="13" t="s">
        <v>26</v>
      </c>
      <c r="L24" s="13" t="s">
        <v>137</v>
      </c>
      <c r="M24" s="21" t="s">
        <v>192</v>
      </c>
      <c r="N24" s="21" t="s">
        <v>139</v>
      </c>
      <c r="O24" s="22" t="s">
        <v>30</v>
      </c>
      <c r="P24" s="21" t="s">
        <v>140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9.25" customHeight="1" x14ac:dyDescent="0.35">
      <c r="A25" s="5" t="s">
        <v>193</v>
      </c>
      <c r="B25" s="6" t="s">
        <v>132</v>
      </c>
      <c r="C25" s="6" t="s">
        <v>194</v>
      </c>
      <c r="D25" s="6" t="s">
        <v>171</v>
      </c>
      <c r="E25" s="6" t="s">
        <v>195</v>
      </c>
      <c r="F25" s="8">
        <v>2</v>
      </c>
      <c r="G25" s="11" t="s">
        <v>22</v>
      </c>
      <c r="H25" s="13" t="s">
        <v>196</v>
      </c>
      <c r="I25" s="8" t="s">
        <v>191</v>
      </c>
      <c r="J25" s="13" t="s">
        <v>146</v>
      </c>
      <c r="K25" s="13" t="s">
        <v>152</v>
      </c>
      <c r="L25" s="13" t="s">
        <v>174</v>
      </c>
      <c r="M25" s="21" t="s">
        <v>197</v>
      </c>
      <c r="N25" s="21" t="s">
        <v>176</v>
      </c>
      <c r="O25" s="23" t="s">
        <v>155</v>
      </c>
      <c r="P25" s="21" t="s">
        <v>198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9.25" customHeight="1" x14ac:dyDescent="0.35">
      <c r="A26" s="5" t="s">
        <v>199</v>
      </c>
      <c r="B26" s="6" t="s">
        <v>132</v>
      </c>
      <c r="C26" s="6" t="s">
        <v>200</v>
      </c>
      <c r="D26" s="6" t="s">
        <v>116</v>
      </c>
      <c r="E26" s="6" t="s">
        <v>201</v>
      </c>
      <c r="F26" s="8">
        <v>2</v>
      </c>
      <c r="G26" s="11" t="s">
        <v>22</v>
      </c>
      <c r="H26" s="13" t="s">
        <v>202</v>
      </c>
      <c r="I26" s="8" t="s">
        <v>24</v>
      </c>
      <c r="J26" s="13" t="s">
        <v>203</v>
      </c>
      <c r="K26" s="13" t="s">
        <v>152</v>
      </c>
      <c r="L26" s="13" t="s">
        <v>37</v>
      </c>
      <c r="M26" s="21" t="s">
        <v>153</v>
      </c>
      <c r="N26" s="21" t="s">
        <v>204</v>
      </c>
      <c r="O26" s="23" t="s">
        <v>155</v>
      </c>
      <c r="P26" s="21" t="s">
        <v>205</v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9.25" customHeight="1" x14ac:dyDescent="0.35">
      <c r="A27" s="5" t="s">
        <v>206</v>
      </c>
      <c r="B27" s="6" t="s">
        <v>207</v>
      </c>
      <c r="C27" s="6" t="s">
        <v>208</v>
      </c>
      <c r="D27" s="6" t="s">
        <v>148</v>
      </c>
      <c r="E27" s="6" t="s">
        <v>209</v>
      </c>
      <c r="F27" s="8">
        <v>2</v>
      </c>
      <c r="G27" s="11" t="s">
        <v>22</v>
      </c>
      <c r="H27" s="13" t="s">
        <v>210</v>
      </c>
      <c r="I27" s="8" t="s">
        <v>24</v>
      </c>
      <c r="J27" s="13" t="s">
        <v>146</v>
      </c>
      <c r="K27" s="13" t="s">
        <v>152</v>
      </c>
      <c r="L27" s="13" t="s">
        <v>37</v>
      </c>
      <c r="M27" s="21" t="s">
        <v>211</v>
      </c>
      <c r="N27" s="21" t="s">
        <v>212</v>
      </c>
      <c r="O27" s="23" t="s">
        <v>155</v>
      </c>
      <c r="P27" s="21" t="s">
        <v>213</v>
      </c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9.25" customHeight="1" x14ac:dyDescent="0.35">
      <c r="A28" s="5" t="s">
        <v>214</v>
      </c>
      <c r="B28" s="6" t="s">
        <v>207</v>
      </c>
      <c r="C28" s="6" t="s">
        <v>215</v>
      </c>
      <c r="D28" s="6" t="s">
        <v>116</v>
      </c>
      <c r="E28" s="6" t="s">
        <v>216</v>
      </c>
      <c r="F28" s="8">
        <v>1</v>
      </c>
      <c r="G28" s="11" t="s">
        <v>22</v>
      </c>
      <c r="H28" s="13" t="s">
        <v>217</v>
      </c>
      <c r="I28" s="8" t="s">
        <v>24</v>
      </c>
      <c r="J28" s="13" t="s">
        <v>206</v>
      </c>
      <c r="K28" s="13" t="s">
        <v>152</v>
      </c>
      <c r="L28" s="13" t="s">
        <v>37</v>
      </c>
      <c r="M28" s="21" t="s">
        <v>211</v>
      </c>
      <c r="N28" s="21" t="s">
        <v>212</v>
      </c>
      <c r="O28" s="23" t="s">
        <v>155</v>
      </c>
      <c r="P28" s="21" t="s">
        <v>218</v>
      </c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9.25" customHeight="1" x14ac:dyDescent="0.35">
      <c r="A29" s="5" t="s">
        <v>219</v>
      </c>
      <c r="B29" s="6" t="s">
        <v>207</v>
      </c>
      <c r="C29" s="6" t="s">
        <v>220</v>
      </c>
      <c r="D29" s="6" t="s">
        <v>148</v>
      </c>
      <c r="E29" s="6" t="s">
        <v>221</v>
      </c>
      <c r="F29" s="8">
        <v>1</v>
      </c>
      <c r="G29" s="11" t="s">
        <v>35</v>
      </c>
      <c r="H29" s="13" t="s">
        <v>222</v>
      </c>
      <c r="I29" s="8" t="s">
        <v>136</v>
      </c>
      <c r="J29" s="13" t="s">
        <v>223</v>
      </c>
      <c r="K29" s="13" t="s">
        <v>152</v>
      </c>
      <c r="L29" s="13" t="s">
        <v>37</v>
      </c>
      <c r="M29" s="21" t="s">
        <v>211</v>
      </c>
      <c r="N29" s="21" t="s">
        <v>212</v>
      </c>
      <c r="O29" s="23" t="s">
        <v>155</v>
      </c>
      <c r="P29" s="21" t="s">
        <v>224</v>
      </c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1" customHeight="1" x14ac:dyDescent="0.35">
      <c r="A30" s="5" t="s">
        <v>225</v>
      </c>
      <c r="B30" s="6" t="s">
        <v>207</v>
      </c>
      <c r="C30" s="6" t="s">
        <v>226</v>
      </c>
      <c r="D30" s="6" t="s">
        <v>171</v>
      </c>
      <c r="E30" s="6" t="s">
        <v>227</v>
      </c>
      <c r="F30" s="8">
        <v>1</v>
      </c>
      <c r="G30" s="11" t="s">
        <v>22</v>
      </c>
      <c r="H30" s="13" t="s">
        <v>228</v>
      </c>
      <c r="I30" s="8" t="s">
        <v>191</v>
      </c>
      <c r="J30" s="13" t="s">
        <v>206</v>
      </c>
      <c r="K30" s="13" t="s">
        <v>152</v>
      </c>
      <c r="L30" s="13" t="s">
        <v>68</v>
      </c>
      <c r="M30" s="21" t="s">
        <v>229</v>
      </c>
      <c r="N30" s="21" t="s">
        <v>176</v>
      </c>
      <c r="O30" s="23" t="s">
        <v>155</v>
      </c>
      <c r="P30" s="21" t="s">
        <v>230</v>
      </c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9.25" customHeight="1" x14ac:dyDescent="0.35">
      <c r="A31" s="5" t="s">
        <v>231</v>
      </c>
      <c r="B31" s="6" t="s">
        <v>207</v>
      </c>
      <c r="C31" s="6" t="s">
        <v>232</v>
      </c>
      <c r="D31" s="6" t="s">
        <v>148</v>
      </c>
      <c r="E31" s="6" t="s">
        <v>233</v>
      </c>
      <c r="F31" s="8">
        <v>1</v>
      </c>
      <c r="G31" s="11" t="s">
        <v>35</v>
      </c>
      <c r="H31" s="13" t="s">
        <v>234</v>
      </c>
      <c r="I31" s="8" t="s">
        <v>136</v>
      </c>
      <c r="J31" s="13" t="s">
        <v>206</v>
      </c>
      <c r="K31" s="13" t="s">
        <v>152</v>
      </c>
      <c r="L31" s="13" t="s">
        <v>60</v>
      </c>
      <c r="M31" s="21" t="s">
        <v>235</v>
      </c>
      <c r="N31" s="21" t="s">
        <v>236</v>
      </c>
      <c r="O31" s="23" t="s">
        <v>155</v>
      </c>
      <c r="P31" s="21" t="s">
        <v>237</v>
      </c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31" customHeight="1" x14ac:dyDescent="0.35">
      <c r="A32" s="5" t="s">
        <v>238</v>
      </c>
      <c r="B32" s="6" t="s">
        <v>239</v>
      </c>
      <c r="C32" s="6" t="s">
        <v>240</v>
      </c>
      <c r="D32" s="6" t="s">
        <v>43</v>
      </c>
      <c r="E32" s="6" t="s">
        <v>241</v>
      </c>
      <c r="F32" s="8">
        <v>2</v>
      </c>
      <c r="G32" s="11" t="s">
        <v>22</v>
      </c>
      <c r="H32" s="13" t="s">
        <v>242</v>
      </c>
      <c r="I32" s="8" t="s">
        <v>191</v>
      </c>
      <c r="J32" s="13" t="s">
        <v>141</v>
      </c>
      <c r="K32" s="13" t="s">
        <v>152</v>
      </c>
      <c r="L32" s="13" t="s">
        <v>243</v>
      </c>
      <c r="M32" s="21" t="s">
        <v>244</v>
      </c>
      <c r="N32" s="21" t="s">
        <v>245</v>
      </c>
      <c r="O32" s="23" t="s">
        <v>155</v>
      </c>
      <c r="P32" s="21" t="s">
        <v>246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9.25" customHeight="1" x14ac:dyDescent="0.35">
      <c r="A33" s="5" t="s">
        <v>247</v>
      </c>
      <c r="B33" s="6" t="s">
        <v>239</v>
      </c>
      <c r="C33" s="6" t="s">
        <v>248</v>
      </c>
      <c r="D33" s="6" t="s">
        <v>43</v>
      </c>
      <c r="E33" s="6" t="s">
        <v>249</v>
      </c>
      <c r="F33" s="8">
        <v>2</v>
      </c>
      <c r="G33" s="11" t="s">
        <v>22</v>
      </c>
      <c r="H33" s="13" t="s">
        <v>250</v>
      </c>
      <c r="I33" s="8" t="s">
        <v>191</v>
      </c>
      <c r="J33" s="13" t="s">
        <v>238</v>
      </c>
      <c r="K33" s="13" t="s">
        <v>152</v>
      </c>
      <c r="L33" s="13" t="s">
        <v>37</v>
      </c>
      <c r="M33" s="21" t="s">
        <v>251</v>
      </c>
      <c r="N33" s="21" t="s">
        <v>245</v>
      </c>
      <c r="O33" s="23" t="s">
        <v>155</v>
      </c>
      <c r="P33" s="2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31" customHeight="1" x14ac:dyDescent="0.35">
      <c r="A34" s="5" t="s">
        <v>252</v>
      </c>
      <c r="B34" s="6" t="s">
        <v>239</v>
      </c>
      <c r="C34" s="6" t="s">
        <v>253</v>
      </c>
      <c r="D34" s="6" t="s">
        <v>171</v>
      </c>
      <c r="E34" s="6" t="s">
        <v>254</v>
      </c>
      <c r="F34" s="8">
        <v>3</v>
      </c>
      <c r="G34" s="11" t="s">
        <v>22</v>
      </c>
      <c r="H34" s="13" t="s">
        <v>255</v>
      </c>
      <c r="I34" s="8" t="s">
        <v>191</v>
      </c>
      <c r="J34" s="13" t="s">
        <v>256</v>
      </c>
      <c r="K34" s="13" t="s">
        <v>152</v>
      </c>
      <c r="L34" s="13" t="s">
        <v>68</v>
      </c>
      <c r="M34" s="21" t="s">
        <v>257</v>
      </c>
      <c r="N34" s="21" t="s">
        <v>258</v>
      </c>
      <c r="O34" s="23" t="s">
        <v>155</v>
      </c>
      <c r="P34" s="2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9.25" customHeight="1" x14ac:dyDescent="0.35">
      <c r="A35" s="5" t="s">
        <v>259</v>
      </c>
      <c r="B35" s="6" t="s">
        <v>239</v>
      </c>
      <c r="C35" s="6" t="s">
        <v>260</v>
      </c>
      <c r="D35" s="6" t="s">
        <v>116</v>
      </c>
      <c r="E35" s="6" t="s">
        <v>261</v>
      </c>
      <c r="F35" s="8">
        <v>2</v>
      </c>
      <c r="G35" s="11" t="s">
        <v>22</v>
      </c>
      <c r="H35" s="13" t="s">
        <v>262</v>
      </c>
      <c r="I35" s="8" t="s">
        <v>191</v>
      </c>
      <c r="J35" s="13" t="s">
        <v>263</v>
      </c>
      <c r="K35" s="13" t="s">
        <v>152</v>
      </c>
      <c r="L35" s="13" t="s">
        <v>174</v>
      </c>
      <c r="M35" s="21" t="s">
        <v>264</v>
      </c>
      <c r="N35" s="21" t="s">
        <v>258</v>
      </c>
      <c r="O35" s="23" t="s">
        <v>155</v>
      </c>
      <c r="P35" s="21" t="s">
        <v>265</v>
      </c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9.25" customHeight="1" x14ac:dyDescent="0.35">
      <c r="A36" s="5" t="s">
        <v>266</v>
      </c>
      <c r="B36" s="6" t="s">
        <v>239</v>
      </c>
      <c r="C36" s="6" t="s">
        <v>267</v>
      </c>
      <c r="D36" s="6" t="s">
        <v>148</v>
      </c>
      <c r="E36" s="6" t="s">
        <v>268</v>
      </c>
      <c r="F36" s="8">
        <v>2</v>
      </c>
      <c r="G36" s="11" t="s">
        <v>35</v>
      </c>
      <c r="H36" s="13" t="s">
        <v>269</v>
      </c>
      <c r="I36" s="8" t="s">
        <v>191</v>
      </c>
      <c r="J36" s="13" t="s">
        <v>270</v>
      </c>
      <c r="K36" s="13" t="s">
        <v>152</v>
      </c>
      <c r="L36" s="13" t="s">
        <v>37</v>
      </c>
      <c r="M36" s="21" t="s">
        <v>271</v>
      </c>
      <c r="N36" s="21" t="s">
        <v>272</v>
      </c>
      <c r="O36" s="23" t="s">
        <v>155</v>
      </c>
      <c r="P36" s="21" t="s">
        <v>273</v>
      </c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44.5" customHeight="1" x14ac:dyDescent="0.35">
      <c r="A37" s="5" t="s">
        <v>274</v>
      </c>
      <c r="B37" s="6" t="s">
        <v>275</v>
      </c>
      <c r="C37" s="6" t="s">
        <v>276</v>
      </c>
      <c r="D37" s="6" t="s">
        <v>43</v>
      </c>
      <c r="E37" s="6" t="s">
        <v>277</v>
      </c>
      <c r="F37" s="8">
        <v>3</v>
      </c>
      <c r="G37" s="11" t="s">
        <v>22</v>
      </c>
      <c r="H37" s="13" t="s">
        <v>278</v>
      </c>
      <c r="I37" s="8" t="s">
        <v>191</v>
      </c>
      <c r="J37" s="13" t="s">
        <v>25</v>
      </c>
      <c r="K37" s="13" t="s">
        <v>152</v>
      </c>
      <c r="L37" s="13" t="s">
        <v>279</v>
      </c>
      <c r="M37" s="21" t="s">
        <v>280</v>
      </c>
      <c r="N37" s="21" t="s">
        <v>281</v>
      </c>
      <c r="O37" s="23" t="s">
        <v>155</v>
      </c>
      <c r="P37" s="21" t="s">
        <v>282</v>
      </c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9.25" customHeight="1" x14ac:dyDescent="0.35">
      <c r="A38" s="5" t="s">
        <v>283</v>
      </c>
      <c r="B38" s="6" t="s">
        <v>275</v>
      </c>
      <c r="C38" s="6" t="s">
        <v>284</v>
      </c>
      <c r="D38" s="6" t="s">
        <v>43</v>
      </c>
      <c r="E38" s="6" t="s">
        <v>285</v>
      </c>
      <c r="F38" s="8">
        <v>1</v>
      </c>
      <c r="G38" s="11" t="s">
        <v>35</v>
      </c>
      <c r="H38" s="13" t="s">
        <v>286</v>
      </c>
      <c r="I38" s="8" t="s">
        <v>191</v>
      </c>
      <c r="J38" s="13" t="s">
        <v>287</v>
      </c>
      <c r="K38" s="13" t="s">
        <v>152</v>
      </c>
      <c r="L38" s="13" t="s">
        <v>83</v>
      </c>
      <c r="M38" s="21" t="s">
        <v>288</v>
      </c>
      <c r="N38" s="21" t="s">
        <v>281</v>
      </c>
      <c r="O38" s="23" t="s">
        <v>155</v>
      </c>
      <c r="P38" s="21" t="s">
        <v>289</v>
      </c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9.25" customHeight="1" x14ac:dyDescent="0.35">
      <c r="A39" s="5" t="s">
        <v>290</v>
      </c>
      <c r="B39" s="6" t="s">
        <v>275</v>
      </c>
      <c r="C39" s="6" t="s">
        <v>291</v>
      </c>
      <c r="D39" s="6" t="s">
        <v>148</v>
      </c>
      <c r="E39" s="6" t="s">
        <v>292</v>
      </c>
      <c r="F39" s="8">
        <v>3</v>
      </c>
      <c r="G39" s="11" t="s">
        <v>22</v>
      </c>
      <c r="H39" s="13" t="s">
        <v>293</v>
      </c>
      <c r="I39" s="8" t="s">
        <v>191</v>
      </c>
      <c r="J39" s="13" t="s">
        <v>294</v>
      </c>
      <c r="K39" s="13" t="s">
        <v>152</v>
      </c>
      <c r="L39" s="13" t="s">
        <v>37</v>
      </c>
      <c r="M39" s="21" t="s">
        <v>295</v>
      </c>
      <c r="N39" s="21" t="s">
        <v>296</v>
      </c>
      <c r="O39" s="23" t="s">
        <v>155</v>
      </c>
      <c r="P39" s="21" t="s">
        <v>297</v>
      </c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31" customHeight="1" x14ac:dyDescent="0.35">
      <c r="A40" s="5" t="s">
        <v>298</v>
      </c>
      <c r="B40" s="6" t="s">
        <v>275</v>
      </c>
      <c r="C40" s="6" t="s">
        <v>299</v>
      </c>
      <c r="D40" s="6" t="s">
        <v>148</v>
      </c>
      <c r="E40" s="6" t="s">
        <v>300</v>
      </c>
      <c r="F40" s="8">
        <v>2</v>
      </c>
      <c r="G40" s="11" t="s">
        <v>22</v>
      </c>
      <c r="H40" s="13" t="s">
        <v>301</v>
      </c>
      <c r="I40" s="8" t="s">
        <v>191</v>
      </c>
      <c r="J40" s="13" t="s">
        <v>290</v>
      </c>
      <c r="K40" s="13" t="s">
        <v>152</v>
      </c>
      <c r="L40" s="13" t="s">
        <v>243</v>
      </c>
      <c r="M40" s="21" t="s">
        <v>302</v>
      </c>
      <c r="N40" s="21" t="s">
        <v>296</v>
      </c>
      <c r="O40" s="23" t="s">
        <v>155</v>
      </c>
      <c r="P40" s="21" t="s">
        <v>303</v>
      </c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9.25" customHeight="1" x14ac:dyDescent="0.35">
      <c r="A41" s="5" t="s">
        <v>304</v>
      </c>
      <c r="B41" s="6" t="s">
        <v>305</v>
      </c>
      <c r="C41" s="6" t="s">
        <v>306</v>
      </c>
      <c r="D41" s="6" t="s">
        <v>148</v>
      </c>
      <c r="E41" s="6" t="s">
        <v>307</v>
      </c>
      <c r="F41" s="8">
        <v>2</v>
      </c>
      <c r="G41" s="11" t="s">
        <v>22</v>
      </c>
      <c r="H41" s="13" t="s">
        <v>308</v>
      </c>
      <c r="I41" s="8" t="s">
        <v>191</v>
      </c>
      <c r="J41" s="13" t="s">
        <v>309</v>
      </c>
      <c r="K41" s="13" t="s">
        <v>152</v>
      </c>
      <c r="L41" s="13" t="s">
        <v>83</v>
      </c>
      <c r="M41" s="21" t="s">
        <v>310</v>
      </c>
      <c r="N41" s="21" t="s">
        <v>185</v>
      </c>
      <c r="O41" s="23" t="s">
        <v>155</v>
      </c>
      <c r="P41" s="21" t="s">
        <v>311</v>
      </c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9.25" customHeight="1" x14ac:dyDescent="0.35">
      <c r="A42" s="5" t="s">
        <v>312</v>
      </c>
      <c r="B42" s="6" t="s">
        <v>305</v>
      </c>
      <c r="C42" s="6" t="s">
        <v>313</v>
      </c>
      <c r="D42" s="6" t="s">
        <v>148</v>
      </c>
      <c r="E42" s="6" t="s">
        <v>314</v>
      </c>
      <c r="F42" s="8">
        <v>1</v>
      </c>
      <c r="G42" s="11" t="s">
        <v>22</v>
      </c>
      <c r="H42" s="13" t="s">
        <v>315</v>
      </c>
      <c r="I42" s="8" t="s">
        <v>191</v>
      </c>
      <c r="J42" s="13" t="s">
        <v>146</v>
      </c>
      <c r="K42" s="13" t="s">
        <v>152</v>
      </c>
      <c r="L42" s="13" t="s">
        <v>183</v>
      </c>
      <c r="M42" s="21" t="s">
        <v>316</v>
      </c>
      <c r="N42" s="21" t="s">
        <v>317</v>
      </c>
      <c r="O42" s="23" t="s">
        <v>155</v>
      </c>
      <c r="P42" s="21" t="s">
        <v>318</v>
      </c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9.25" customHeight="1" x14ac:dyDescent="0.35">
      <c r="A43" s="5" t="s">
        <v>319</v>
      </c>
      <c r="B43" s="6" t="s">
        <v>305</v>
      </c>
      <c r="C43" s="6" t="s">
        <v>320</v>
      </c>
      <c r="D43" s="6" t="s">
        <v>148</v>
      </c>
      <c r="E43" s="6" t="s">
        <v>321</v>
      </c>
      <c r="F43" s="8">
        <v>2</v>
      </c>
      <c r="G43" s="11" t="s">
        <v>35</v>
      </c>
      <c r="H43" s="13" t="s">
        <v>322</v>
      </c>
      <c r="I43" s="8" t="s">
        <v>191</v>
      </c>
      <c r="J43" s="13" t="s">
        <v>323</v>
      </c>
      <c r="K43" s="13" t="s">
        <v>152</v>
      </c>
      <c r="L43" s="13" t="s">
        <v>37</v>
      </c>
      <c r="M43" s="21" t="s">
        <v>324</v>
      </c>
      <c r="N43" s="21" t="s">
        <v>185</v>
      </c>
      <c r="O43" s="23" t="s">
        <v>155</v>
      </c>
      <c r="P43" s="21" t="s">
        <v>325</v>
      </c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42" customHeight="1" x14ac:dyDescent="0.35">
      <c r="A44" s="5" t="s">
        <v>326</v>
      </c>
      <c r="B44" s="6" t="s">
        <v>305</v>
      </c>
      <c r="C44" s="6" t="s">
        <v>327</v>
      </c>
      <c r="D44" s="6" t="s">
        <v>171</v>
      </c>
      <c r="E44" s="6" t="s">
        <v>328</v>
      </c>
      <c r="F44" s="8">
        <v>2</v>
      </c>
      <c r="G44" s="11" t="s">
        <v>35</v>
      </c>
      <c r="H44" s="13" t="s">
        <v>329</v>
      </c>
      <c r="I44" s="8" t="s">
        <v>191</v>
      </c>
      <c r="J44" s="13" t="s">
        <v>319</v>
      </c>
      <c r="K44" s="13" t="s">
        <v>152</v>
      </c>
      <c r="L44" s="13" t="s">
        <v>330</v>
      </c>
      <c r="M44" s="21" t="s">
        <v>331</v>
      </c>
      <c r="N44" s="21" t="s">
        <v>332</v>
      </c>
      <c r="O44" s="23" t="s">
        <v>155</v>
      </c>
      <c r="P44" s="2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9.25" customHeight="1" x14ac:dyDescent="0.35">
      <c r="A45" s="5" t="s">
        <v>333</v>
      </c>
      <c r="B45" s="6" t="s">
        <v>334</v>
      </c>
      <c r="C45" s="6" t="s">
        <v>335</v>
      </c>
      <c r="D45" s="6" t="s">
        <v>116</v>
      </c>
      <c r="E45" s="6" t="s">
        <v>336</v>
      </c>
      <c r="F45" s="8">
        <v>3</v>
      </c>
      <c r="G45" s="11" t="s">
        <v>35</v>
      </c>
      <c r="H45" s="13" t="s">
        <v>337</v>
      </c>
      <c r="I45" s="8" t="s">
        <v>191</v>
      </c>
      <c r="J45" s="13" t="s">
        <v>17</v>
      </c>
      <c r="K45" s="13" t="s">
        <v>338</v>
      </c>
      <c r="L45" s="13" t="s">
        <v>339</v>
      </c>
      <c r="M45" s="21" t="s">
        <v>340</v>
      </c>
      <c r="N45" s="21" t="s">
        <v>120</v>
      </c>
      <c r="O45" s="23" t="s">
        <v>155</v>
      </c>
      <c r="P45" s="21" t="s">
        <v>341</v>
      </c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9.25" customHeight="1" x14ac:dyDescent="0.35">
      <c r="A46" s="5" t="s">
        <v>342</v>
      </c>
      <c r="B46" s="6" t="s">
        <v>334</v>
      </c>
      <c r="C46" s="6" t="s">
        <v>343</v>
      </c>
      <c r="D46" s="6" t="s">
        <v>116</v>
      </c>
      <c r="E46" s="6" t="s">
        <v>344</v>
      </c>
      <c r="F46" s="8">
        <v>2</v>
      </c>
      <c r="G46" s="11" t="s">
        <v>35</v>
      </c>
      <c r="H46" s="13" t="s">
        <v>345</v>
      </c>
      <c r="I46" s="8" t="s">
        <v>24</v>
      </c>
      <c r="J46" s="13" t="s">
        <v>333</v>
      </c>
      <c r="K46" s="13" t="s">
        <v>338</v>
      </c>
      <c r="L46" s="13" t="s">
        <v>174</v>
      </c>
      <c r="M46" s="21" t="s">
        <v>346</v>
      </c>
      <c r="N46" s="21" t="s">
        <v>347</v>
      </c>
      <c r="O46" s="23" t="s">
        <v>155</v>
      </c>
      <c r="P46" s="21" t="s">
        <v>348</v>
      </c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9.25" customHeight="1" x14ac:dyDescent="0.35">
      <c r="A47" s="5" t="s">
        <v>349</v>
      </c>
      <c r="B47" s="6" t="s">
        <v>334</v>
      </c>
      <c r="C47" s="6" t="s">
        <v>350</v>
      </c>
      <c r="D47" s="6" t="s">
        <v>116</v>
      </c>
      <c r="E47" s="6" t="s">
        <v>351</v>
      </c>
      <c r="F47" s="8">
        <v>1</v>
      </c>
      <c r="G47" s="11" t="s">
        <v>35</v>
      </c>
      <c r="H47" s="13" t="s">
        <v>352</v>
      </c>
      <c r="I47" s="8" t="s">
        <v>24</v>
      </c>
      <c r="J47" s="13" t="s">
        <v>333</v>
      </c>
      <c r="K47" s="13" t="s">
        <v>338</v>
      </c>
      <c r="L47" s="13" t="s">
        <v>339</v>
      </c>
      <c r="M47" s="21" t="s">
        <v>353</v>
      </c>
      <c r="N47" s="21" t="s">
        <v>120</v>
      </c>
      <c r="O47" s="23" t="s">
        <v>155</v>
      </c>
      <c r="P47" s="21" t="s">
        <v>354</v>
      </c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9.25" customHeight="1" x14ac:dyDescent="0.35">
      <c r="A48" s="5" t="s">
        <v>355</v>
      </c>
      <c r="B48" s="6" t="s">
        <v>334</v>
      </c>
      <c r="C48" s="6" t="s">
        <v>356</v>
      </c>
      <c r="D48" s="6" t="s">
        <v>357</v>
      </c>
      <c r="E48" s="6" t="s">
        <v>358</v>
      </c>
      <c r="F48" s="8">
        <v>2</v>
      </c>
      <c r="G48" s="11" t="s">
        <v>35</v>
      </c>
      <c r="H48" s="13" t="s">
        <v>359</v>
      </c>
      <c r="I48" s="8" t="s">
        <v>136</v>
      </c>
      <c r="J48" s="13" t="s">
        <v>333</v>
      </c>
      <c r="K48" s="13" t="s">
        <v>338</v>
      </c>
      <c r="L48" s="13" t="s">
        <v>174</v>
      </c>
      <c r="M48" s="21" t="s">
        <v>360</v>
      </c>
      <c r="N48" s="21" t="s">
        <v>347</v>
      </c>
      <c r="O48" s="23" t="s">
        <v>155</v>
      </c>
      <c r="P48" s="21" t="s">
        <v>361</v>
      </c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9.25" customHeight="1" x14ac:dyDescent="0.35">
      <c r="A49" s="5" t="s">
        <v>362</v>
      </c>
      <c r="B49" s="6" t="s">
        <v>334</v>
      </c>
      <c r="C49" s="6" t="s">
        <v>363</v>
      </c>
      <c r="D49" s="6" t="s">
        <v>357</v>
      </c>
      <c r="E49" s="6" t="s">
        <v>364</v>
      </c>
      <c r="F49" s="8">
        <v>1</v>
      </c>
      <c r="G49" s="11" t="s">
        <v>365</v>
      </c>
      <c r="H49" s="13" t="s">
        <v>366</v>
      </c>
      <c r="I49" s="8" t="s">
        <v>191</v>
      </c>
      <c r="J49" s="13" t="s">
        <v>367</v>
      </c>
      <c r="K49" s="13" t="s">
        <v>338</v>
      </c>
      <c r="L49" s="13" t="s">
        <v>174</v>
      </c>
      <c r="M49" s="21" t="s">
        <v>368</v>
      </c>
      <c r="N49" s="21" t="s">
        <v>369</v>
      </c>
      <c r="O49" s="23" t="s">
        <v>155</v>
      </c>
      <c r="P49" s="21" t="s">
        <v>370</v>
      </c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9.25" customHeight="1" x14ac:dyDescent="0.35">
      <c r="A50" s="5" t="s">
        <v>371</v>
      </c>
      <c r="B50" s="6" t="s">
        <v>372</v>
      </c>
      <c r="C50" s="6" t="s">
        <v>373</v>
      </c>
      <c r="D50" s="6" t="s">
        <v>43</v>
      </c>
      <c r="E50" s="6" t="s">
        <v>374</v>
      </c>
      <c r="F50" s="8">
        <v>1</v>
      </c>
      <c r="G50" s="11" t="s">
        <v>22</v>
      </c>
      <c r="H50" s="13" t="s">
        <v>375</v>
      </c>
      <c r="I50" s="8" t="s">
        <v>191</v>
      </c>
      <c r="J50" s="13" t="s">
        <v>25</v>
      </c>
      <c r="K50" s="13" t="s">
        <v>376</v>
      </c>
      <c r="L50" s="13" t="s">
        <v>37</v>
      </c>
      <c r="M50" s="21" t="s">
        <v>377</v>
      </c>
      <c r="N50" s="21" t="s">
        <v>378</v>
      </c>
      <c r="O50" s="23" t="s">
        <v>155</v>
      </c>
      <c r="P50" s="2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9.25" customHeight="1" x14ac:dyDescent="0.35">
      <c r="A51" s="5" t="s">
        <v>379</v>
      </c>
      <c r="B51" s="6" t="s">
        <v>372</v>
      </c>
      <c r="C51" s="6" t="s">
        <v>380</v>
      </c>
      <c r="D51" s="6" t="s">
        <v>43</v>
      </c>
      <c r="E51" s="6" t="s">
        <v>381</v>
      </c>
      <c r="F51" s="8">
        <v>1</v>
      </c>
      <c r="G51" s="11" t="s">
        <v>22</v>
      </c>
      <c r="H51" s="13" t="s">
        <v>382</v>
      </c>
      <c r="I51" s="8" t="s">
        <v>136</v>
      </c>
      <c r="J51" s="13" t="s">
        <v>371</v>
      </c>
      <c r="K51" s="13" t="s">
        <v>376</v>
      </c>
      <c r="L51" s="13" t="s">
        <v>83</v>
      </c>
      <c r="M51" s="21" t="s">
        <v>383</v>
      </c>
      <c r="N51" s="21" t="s">
        <v>378</v>
      </c>
      <c r="O51" s="23" t="s">
        <v>155</v>
      </c>
      <c r="P51" s="2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9.25" customHeight="1" x14ac:dyDescent="0.35">
      <c r="A52" s="5" t="s">
        <v>384</v>
      </c>
      <c r="B52" s="6" t="s">
        <v>372</v>
      </c>
      <c r="C52" s="6" t="s">
        <v>385</v>
      </c>
      <c r="D52" s="6" t="s">
        <v>43</v>
      </c>
      <c r="E52" s="6" t="s">
        <v>386</v>
      </c>
      <c r="F52" s="8">
        <v>1</v>
      </c>
      <c r="G52" s="11" t="s">
        <v>35</v>
      </c>
      <c r="H52" s="13" t="s">
        <v>387</v>
      </c>
      <c r="I52" s="8" t="s">
        <v>136</v>
      </c>
      <c r="J52" s="13" t="s">
        <v>371</v>
      </c>
      <c r="K52" s="13" t="s">
        <v>376</v>
      </c>
      <c r="L52" s="13" t="s">
        <v>183</v>
      </c>
      <c r="M52" s="21" t="s">
        <v>388</v>
      </c>
      <c r="N52" s="21" t="s">
        <v>378</v>
      </c>
      <c r="O52" s="23" t="s">
        <v>155</v>
      </c>
      <c r="P52" s="21" t="s">
        <v>389</v>
      </c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31" customHeight="1" x14ac:dyDescent="0.35">
      <c r="A53" s="5" t="s">
        <v>390</v>
      </c>
      <c r="B53" s="6" t="s">
        <v>372</v>
      </c>
      <c r="C53" s="6" t="s">
        <v>391</v>
      </c>
      <c r="D53" s="6" t="s">
        <v>43</v>
      </c>
      <c r="E53" s="6" t="s">
        <v>392</v>
      </c>
      <c r="F53" s="8">
        <v>1</v>
      </c>
      <c r="G53" s="11" t="s">
        <v>22</v>
      </c>
      <c r="H53" s="13" t="s">
        <v>393</v>
      </c>
      <c r="I53" s="8" t="s">
        <v>191</v>
      </c>
      <c r="J53" s="13" t="s">
        <v>371</v>
      </c>
      <c r="K53" s="13" t="s">
        <v>376</v>
      </c>
      <c r="L53" s="13" t="s">
        <v>68</v>
      </c>
      <c r="M53" s="21" t="s">
        <v>394</v>
      </c>
      <c r="N53" s="21" t="s">
        <v>378</v>
      </c>
      <c r="O53" s="23" t="s">
        <v>155</v>
      </c>
      <c r="P53" s="2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9.25" customHeight="1" x14ac:dyDescent="0.35">
      <c r="A54" s="5" t="s">
        <v>395</v>
      </c>
      <c r="B54" s="6" t="s">
        <v>372</v>
      </c>
      <c r="C54" s="6" t="s">
        <v>396</v>
      </c>
      <c r="D54" s="6" t="s">
        <v>43</v>
      </c>
      <c r="E54" s="6" t="s">
        <v>397</v>
      </c>
      <c r="F54" s="8">
        <v>5</v>
      </c>
      <c r="G54" s="11" t="s">
        <v>22</v>
      </c>
      <c r="H54" s="13" t="s">
        <v>398</v>
      </c>
      <c r="I54" s="8" t="s">
        <v>136</v>
      </c>
      <c r="J54" s="13" t="s">
        <v>371</v>
      </c>
      <c r="K54" s="13" t="s">
        <v>376</v>
      </c>
      <c r="L54" s="13" t="s">
        <v>174</v>
      </c>
      <c r="M54" s="21" t="s">
        <v>399</v>
      </c>
      <c r="N54" s="21" t="s">
        <v>378</v>
      </c>
      <c r="O54" s="23" t="s">
        <v>155</v>
      </c>
      <c r="P54" s="21" t="s">
        <v>400</v>
      </c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9.25" customHeight="1" x14ac:dyDescent="0.35">
      <c r="A55" s="5" t="s">
        <v>401</v>
      </c>
      <c r="B55" s="6" t="s">
        <v>372</v>
      </c>
      <c r="C55" s="6" t="s">
        <v>402</v>
      </c>
      <c r="D55" s="6" t="s">
        <v>43</v>
      </c>
      <c r="E55" s="6" t="s">
        <v>403</v>
      </c>
      <c r="F55" s="8">
        <v>1</v>
      </c>
      <c r="G55" s="11" t="s">
        <v>22</v>
      </c>
      <c r="H55" s="13" t="s">
        <v>404</v>
      </c>
      <c r="I55" s="8" t="s">
        <v>136</v>
      </c>
      <c r="J55" s="13" t="s">
        <v>371</v>
      </c>
      <c r="K55" s="13" t="s">
        <v>376</v>
      </c>
      <c r="L55" s="13" t="s">
        <v>37</v>
      </c>
      <c r="M55" s="21" t="s">
        <v>405</v>
      </c>
      <c r="N55" s="21" t="s">
        <v>378</v>
      </c>
      <c r="O55" s="23" t="s">
        <v>155</v>
      </c>
      <c r="P55" s="2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9.25" customHeight="1" x14ac:dyDescent="0.35">
      <c r="A56" s="5" t="s">
        <v>406</v>
      </c>
      <c r="B56" s="6" t="s">
        <v>372</v>
      </c>
      <c r="C56" s="6" t="s">
        <v>407</v>
      </c>
      <c r="D56" s="6" t="s">
        <v>43</v>
      </c>
      <c r="E56" s="6" t="s">
        <v>408</v>
      </c>
      <c r="F56" s="8">
        <v>1</v>
      </c>
      <c r="G56" s="11" t="s">
        <v>22</v>
      </c>
      <c r="H56" s="13" t="s">
        <v>409</v>
      </c>
      <c r="I56" s="8" t="s">
        <v>136</v>
      </c>
      <c r="J56" s="13" t="s">
        <v>401</v>
      </c>
      <c r="K56" s="13" t="s">
        <v>376</v>
      </c>
      <c r="L56" s="13" t="s">
        <v>83</v>
      </c>
      <c r="M56" s="21" t="s">
        <v>410</v>
      </c>
      <c r="N56" s="21" t="s">
        <v>378</v>
      </c>
      <c r="O56" s="23" t="s">
        <v>155</v>
      </c>
      <c r="P56" s="2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9.25" customHeight="1" x14ac:dyDescent="0.35">
      <c r="A57" s="5" t="s">
        <v>411</v>
      </c>
      <c r="B57" s="6" t="s">
        <v>372</v>
      </c>
      <c r="C57" s="6" t="s">
        <v>412</v>
      </c>
      <c r="D57" s="6" t="s">
        <v>43</v>
      </c>
      <c r="E57" s="6" t="s">
        <v>413</v>
      </c>
      <c r="F57" s="8">
        <v>1</v>
      </c>
      <c r="G57" s="11" t="s">
        <v>22</v>
      </c>
      <c r="H57" s="13" t="s">
        <v>414</v>
      </c>
      <c r="I57" s="8" t="s">
        <v>136</v>
      </c>
      <c r="J57" s="13" t="s">
        <v>401</v>
      </c>
      <c r="K57" s="13" t="s">
        <v>376</v>
      </c>
      <c r="L57" s="13" t="s">
        <v>183</v>
      </c>
      <c r="M57" s="21" t="s">
        <v>415</v>
      </c>
      <c r="N57" s="21" t="s">
        <v>378</v>
      </c>
      <c r="O57" s="23" t="s">
        <v>155</v>
      </c>
      <c r="P57" s="21" t="s">
        <v>416</v>
      </c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9.25" customHeight="1" x14ac:dyDescent="0.35">
      <c r="A58" s="5" t="s">
        <v>417</v>
      </c>
      <c r="B58" s="6" t="s">
        <v>372</v>
      </c>
      <c r="C58" s="6" t="s">
        <v>418</v>
      </c>
      <c r="D58" s="6" t="s">
        <v>43</v>
      </c>
      <c r="E58" s="6" t="s">
        <v>419</v>
      </c>
      <c r="F58" s="8">
        <v>3</v>
      </c>
      <c r="G58" s="11" t="s">
        <v>22</v>
      </c>
      <c r="H58" s="13" t="s">
        <v>420</v>
      </c>
      <c r="I58" s="8" t="s">
        <v>191</v>
      </c>
      <c r="J58" s="13" t="s">
        <v>401</v>
      </c>
      <c r="K58" s="13" t="s">
        <v>376</v>
      </c>
      <c r="L58" s="13" t="s">
        <v>37</v>
      </c>
      <c r="M58" s="21" t="s">
        <v>421</v>
      </c>
      <c r="N58" s="21" t="s">
        <v>378</v>
      </c>
      <c r="O58" s="23" t="s">
        <v>155</v>
      </c>
      <c r="P58" s="21" t="s">
        <v>422</v>
      </c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9.25" customHeight="1" x14ac:dyDescent="0.35">
      <c r="A59" s="5" t="s">
        <v>423</v>
      </c>
      <c r="B59" s="6" t="s">
        <v>372</v>
      </c>
      <c r="C59" s="6" t="s">
        <v>424</v>
      </c>
      <c r="D59" s="6" t="s">
        <v>43</v>
      </c>
      <c r="E59" s="6" t="s">
        <v>425</v>
      </c>
      <c r="F59" s="8">
        <v>1</v>
      </c>
      <c r="G59" s="11" t="s">
        <v>35</v>
      </c>
      <c r="H59" s="13" t="s">
        <v>426</v>
      </c>
      <c r="I59" s="8" t="s">
        <v>136</v>
      </c>
      <c r="J59" s="13" t="s">
        <v>417</v>
      </c>
      <c r="K59" s="13" t="s">
        <v>376</v>
      </c>
      <c r="L59" s="13" t="s">
        <v>83</v>
      </c>
      <c r="M59" s="21" t="s">
        <v>427</v>
      </c>
      <c r="N59" s="21" t="s">
        <v>378</v>
      </c>
      <c r="O59" s="23" t="s">
        <v>155</v>
      </c>
      <c r="P59" s="2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9.25" customHeight="1" x14ac:dyDescent="0.35">
      <c r="A60" s="5" t="s">
        <v>428</v>
      </c>
      <c r="B60" s="6" t="s">
        <v>372</v>
      </c>
      <c r="C60" s="6" t="s">
        <v>429</v>
      </c>
      <c r="D60" s="6" t="s">
        <v>43</v>
      </c>
      <c r="E60" s="6" t="s">
        <v>430</v>
      </c>
      <c r="F60" s="8">
        <v>1</v>
      </c>
      <c r="G60" s="11" t="s">
        <v>35</v>
      </c>
      <c r="H60" s="13" t="s">
        <v>431</v>
      </c>
      <c r="I60" s="8" t="s">
        <v>136</v>
      </c>
      <c r="J60" s="13" t="s">
        <v>417</v>
      </c>
      <c r="K60" s="13" t="s">
        <v>376</v>
      </c>
      <c r="L60" s="13" t="s">
        <v>60</v>
      </c>
      <c r="M60" s="21" t="s">
        <v>427</v>
      </c>
      <c r="N60" s="21" t="s">
        <v>378</v>
      </c>
      <c r="O60" s="23" t="s">
        <v>155</v>
      </c>
      <c r="P60" s="2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9.25" customHeight="1" x14ac:dyDescent="0.35">
      <c r="A61" s="5" t="s">
        <v>432</v>
      </c>
      <c r="B61" s="6" t="s">
        <v>372</v>
      </c>
      <c r="C61" s="6" t="s">
        <v>433</v>
      </c>
      <c r="D61" s="6" t="s">
        <v>43</v>
      </c>
      <c r="E61" s="6" t="s">
        <v>434</v>
      </c>
      <c r="F61" s="8">
        <v>2</v>
      </c>
      <c r="G61" s="11" t="s">
        <v>22</v>
      </c>
      <c r="H61" s="13" t="s">
        <v>435</v>
      </c>
      <c r="I61" s="8" t="s">
        <v>191</v>
      </c>
      <c r="J61" s="13" t="s">
        <v>436</v>
      </c>
      <c r="K61" s="13" t="s">
        <v>376</v>
      </c>
      <c r="L61" s="13" t="s">
        <v>37</v>
      </c>
      <c r="M61" s="21" t="s">
        <v>437</v>
      </c>
      <c r="N61" s="21" t="s">
        <v>378</v>
      </c>
      <c r="O61" s="23" t="s">
        <v>155</v>
      </c>
      <c r="P61" s="21" t="s">
        <v>438</v>
      </c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9.25" customHeight="1" x14ac:dyDescent="0.35">
      <c r="A62" s="5" t="s">
        <v>439</v>
      </c>
      <c r="B62" s="6" t="s">
        <v>372</v>
      </c>
      <c r="C62" s="6" t="s">
        <v>440</v>
      </c>
      <c r="D62" s="6" t="s">
        <v>43</v>
      </c>
      <c r="E62" s="6" t="s">
        <v>441</v>
      </c>
      <c r="F62" s="8">
        <v>1</v>
      </c>
      <c r="G62" s="11" t="s">
        <v>35</v>
      </c>
      <c r="H62" s="13" t="s">
        <v>442</v>
      </c>
      <c r="I62" s="8" t="s">
        <v>191</v>
      </c>
      <c r="J62" s="13" t="s">
        <v>432</v>
      </c>
      <c r="K62" s="13" t="s">
        <v>376</v>
      </c>
      <c r="L62" s="13" t="s">
        <v>60</v>
      </c>
      <c r="M62" s="21" t="s">
        <v>443</v>
      </c>
      <c r="N62" s="21" t="s">
        <v>378</v>
      </c>
      <c r="O62" s="23" t="s">
        <v>155</v>
      </c>
      <c r="P62" s="2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9.25" customHeight="1" x14ac:dyDescent="0.35">
      <c r="A63" s="5" t="s">
        <v>444</v>
      </c>
      <c r="B63" s="6" t="s">
        <v>372</v>
      </c>
      <c r="C63" s="6" t="s">
        <v>445</v>
      </c>
      <c r="D63" s="6" t="s">
        <v>43</v>
      </c>
      <c r="E63" s="6" t="s">
        <v>446</v>
      </c>
      <c r="F63" s="8">
        <v>2</v>
      </c>
      <c r="G63" s="11" t="s">
        <v>22</v>
      </c>
      <c r="H63" s="13" t="s">
        <v>447</v>
      </c>
      <c r="I63" s="8" t="s">
        <v>136</v>
      </c>
      <c r="J63" s="13" t="s">
        <v>448</v>
      </c>
      <c r="K63" s="13" t="s">
        <v>376</v>
      </c>
      <c r="L63" s="13" t="s">
        <v>37</v>
      </c>
      <c r="M63" s="21" t="s">
        <v>449</v>
      </c>
      <c r="N63" s="21" t="s">
        <v>378</v>
      </c>
      <c r="O63" s="23" t="s">
        <v>155</v>
      </c>
      <c r="P63" s="21" t="s">
        <v>450</v>
      </c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9.25" customHeight="1" x14ac:dyDescent="0.35">
      <c r="A64" s="5" t="s">
        <v>451</v>
      </c>
      <c r="B64" s="6" t="s">
        <v>452</v>
      </c>
      <c r="C64" s="6" t="s">
        <v>453</v>
      </c>
      <c r="D64" s="6" t="s">
        <v>148</v>
      </c>
      <c r="E64" s="6" t="s">
        <v>454</v>
      </c>
      <c r="F64" s="8">
        <v>2</v>
      </c>
      <c r="G64" s="11" t="s">
        <v>22</v>
      </c>
      <c r="H64" s="13" t="s">
        <v>455</v>
      </c>
      <c r="I64" s="8" t="s">
        <v>191</v>
      </c>
      <c r="J64" s="13" t="s">
        <v>456</v>
      </c>
      <c r="K64" s="13" t="s">
        <v>376</v>
      </c>
      <c r="L64" s="13" t="s">
        <v>37</v>
      </c>
      <c r="M64" s="21" t="s">
        <v>457</v>
      </c>
      <c r="N64" s="21" t="s">
        <v>458</v>
      </c>
      <c r="O64" s="23" t="s">
        <v>155</v>
      </c>
      <c r="P64" s="21" t="s">
        <v>459</v>
      </c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9.25" customHeight="1" x14ac:dyDescent="0.35">
      <c r="A65" s="5" t="s">
        <v>460</v>
      </c>
      <c r="B65" s="6" t="s">
        <v>452</v>
      </c>
      <c r="C65" s="6" t="s">
        <v>461</v>
      </c>
      <c r="D65" s="6" t="s">
        <v>171</v>
      </c>
      <c r="E65" s="6" t="s">
        <v>462</v>
      </c>
      <c r="F65" s="8">
        <v>3</v>
      </c>
      <c r="G65" s="11" t="s">
        <v>22</v>
      </c>
      <c r="H65" s="13" t="s">
        <v>463</v>
      </c>
      <c r="I65" s="8" t="s">
        <v>136</v>
      </c>
      <c r="J65" s="13" t="s">
        <v>464</v>
      </c>
      <c r="K65" s="13" t="s">
        <v>376</v>
      </c>
      <c r="L65" s="13" t="s">
        <v>174</v>
      </c>
      <c r="M65" s="21" t="s">
        <v>465</v>
      </c>
      <c r="N65" s="21" t="s">
        <v>466</v>
      </c>
      <c r="O65" s="23" t="s">
        <v>155</v>
      </c>
      <c r="P65" s="2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9.25" customHeight="1" x14ac:dyDescent="0.35">
      <c r="A66" s="5" t="s">
        <v>467</v>
      </c>
      <c r="B66" s="6" t="s">
        <v>452</v>
      </c>
      <c r="C66" s="6" t="s">
        <v>468</v>
      </c>
      <c r="D66" s="6" t="s">
        <v>171</v>
      </c>
      <c r="E66" s="6" t="s">
        <v>469</v>
      </c>
      <c r="F66" s="8">
        <v>1</v>
      </c>
      <c r="G66" s="11" t="s">
        <v>35</v>
      </c>
      <c r="H66" s="13" t="s">
        <v>470</v>
      </c>
      <c r="I66" s="8" t="s">
        <v>136</v>
      </c>
      <c r="J66" s="13" t="s">
        <v>460</v>
      </c>
      <c r="K66" s="13" t="s">
        <v>376</v>
      </c>
      <c r="L66" s="13" t="s">
        <v>174</v>
      </c>
      <c r="M66" s="21" t="s">
        <v>471</v>
      </c>
      <c r="N66" s="21" t="s">
        <v>466</v>
      </c>
      <c r="O66" s="23" t="s">
        <v>155</v>
      </c>
      <c r="P66" s="2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9.25" customHeight="1" x14ac:dyDescent="0.35">
      <c r="A67" s="5" t="s">
        <v>472</v>
      </c>
      <c r="B67" s="6" t="s">
        <v>452</v>
      </c>
      <c r="C67" s="6" t="s">
        <v>473</v>
      </c>
      <c r="D67" s="6" t="s">
        <v>171</v>
      </c>
      <c r="E67" s="6" t="s">
        <v>474</v>
      </c>
      <c r="F67" s="8">
        <v>1</v>
      </c>
      <c r="G67" s="11" t="s">
        <v>22</v>
      </c>
      <c r="H67" s="13" t="s">
        <v>475</v>
      </c>
      <c r="I67" s="8" t="s">
        <v>136</v>
      </c>
      <c r="J67" s="13" t="s">
        <v>460</v>
      </c>
      <c r="K67" s="13" t="s">
        <v>376</v>
      </c>
      <c r="L67" s="13" t="s">
        <v>174</v>
      </c>
      <c r="M67" s="21" t="s">
        <v>476</v>
      </c>
      <c r="N67" s="21" t="s">
        <v>466</v>
      </c>
      <c r="O67" s="23" t="s">
        <v>155</v>
      </c>
      <c r="P67" s="21" t="s">
        <v>477</v>
      </c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9.25" customHeight="1" x14ac:dyDescent="0.35">
      <c r="A68" s="5" t="s">
        <v>478</v>
      </c>
      <c r="B68" s="6" t="s">
        <v>452</v>
      </c>
      <c r="C68" s="6" t="s">
        <v>479</v>
      </c>
      <c r="D68" s="6" t="s">
        <v>171</v>
      </c>
      <c r="E68" s="6" t="s">
        <v>480</v>
      </c>
      <c r="F68" s="8">
        <v>2</v>
      </c>
      <c r="G68" s="11" t="s">
        <v>22</v>
      </c>
      <c r="H68" s="13" t="s">
        <v>481</v>
      </c>
      <c r="I68" s="8" t="s">
        <v>136</v>
      </c>
      <c r="J68" s="13" t="s">
        <v>482</v>
      </c>
      <c r="K68" s="13" t="s">
        <v>376</v>
      </c>
      <c r="L68" s="13" t="s">
        <v>37</v>
      </c>
      <c r="M68" s="21" t="s">
        <v>483</v>
      </c>
      <c r="N68" s="21" t="s">
        <v>484</v>
      </c>
      <c r="O68" s="23" t="s">
        <v>155</v>
      </c>
      <c r="P68" s="21" t="s">
        <v>485</v>
      </c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9.25" customHeight="1" x14ac:dyDescent="0.35">
      <c r="A69" s="5" t="s">
        <v>486</v>
      </c>
      <c r="B69" s="6" t="s">
        <v>452</v>
      </c>
      <c r="C69" s="6" t="s">
        <v>487</v>
      </c>
      <c r="D69" s="6" t="s">
        <v>171</v>
      </c>
      <c r="E69" s="6" t="s">
        <v>488</v>
      </c>
      <c r="F69" s="8">
        <v>1</v>
      </c>
      <c r="G69" s="11" t="s">
        <v>22</v>
      </c>
      <c r="H69" s="13" t="s">
        <v>489</v>
      </c>
      <c r="I69" s="8" t="s">
        <v>191</v>
      </c>
      <c r="J69" s="13" t="s">
        <v>482</v>
      </c>
      <c r="K69" s="13" t="s">
        <v>376</v>
      </c>
      <c r="L69" s="13" t="s">
        <v>37</v>
      </c>
      <c r="M69" s="21" t="s">
        <v>490</v>
      </c>
      <c r="N69" s="21" t="s">
        <v>491</v>
      </c>
      <c r="O69" s="23" t="s">
        <v>155</v>
      </c>
      <c r="P69" s="21" t="s">
        <v>492</v>
      </c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9.25" customHeight="1" x14ac:dyDescent="0.35">
      <c r="A70" s="5" t="s">
        <v>493</v>
      </c>
      <c r="B70" s="6" t="s">
        <v>452</v>
      </c>
      <c r="C70" s="6" t="s">
        <v>494</v>
      </c>
      <c r="D70" s="6" t="s">
        <v>171</v>
      </c>
      <c r="E70" s="6" t="s">
        <v>495</v>
      </c>
      <c r="F70" s="8">
        <v>1</v>
      </c>
      <c r="G70" s="11" t="s">
        <v>22</v>
      </c>
      <c r="H70" s="13" t="s">
        <v>496</v>
      </c>
      <c r="I70" s="8" t="s">
        <v>136</v>
      </c>
      <c r="J70" s="13" t="s">
        <v>482</v>
      </c>
      <c r="K70" s="13" t="s">
        <v>376</v>
      </c>
      <c r="L70" s="13" t="s">
        <v>37</v>
      </c>
      <c r="M70" s="21" t="s">
        <v>497</v>
      </c>
      <c r="N70" s="21" t="s">
        <v>491</v>
      </c>
      <c r="O70" s="23" t="s">
        <v>155</v>
      </c>
      <c r="P70" s="21" t="s">
        <v>498</v>
      </c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9.25" customHeight="1" x14ac:dyDescent="0.35">
      <c r="A71" s="5" t="s">
        <v>499</v>
      </c>
      <c r="B71" s="6" t="s">
        <v>500</v>
      </c>
      <c r="C71" s="6" t="s">
        <v>501</v>
      </c>
      <c r="D71" s="6" t="s">
        <v>43</v>
      </c>
      <c r="E71" s="6" t="s">
        <v>502</v>
      </c>
      <c r="F71" s="8">
        <v>2</v>
      </c>
      <c r="G71" s="11" t="s">
        <v>22</v>
      </c>
      <c r="H71" s="13" t="s">
        <v>503</v>
      </c>
      <c r="I71" s="8" t="s">
        <v>504</v>
      </c>
      <c r="J71" s="13" t="s">
        <v>505</v>
      </c>
      <c r="K71" s="13" t="s">
        <v>376</v>
      </c>
      <c r="L71" s="13" t="s">
        <v>83</v>
      </c>
      <c r="M71" s="21" t="s">
        <v>506</v>
      </c>
      <c r="N71" s="21" t="s">
        <v>378</v>
      </c>
      <c r="O71" s="23" t="s">
        <v>155</v>
      </c>
      <c r="P71" s="21" t="s">
        <v>507</v>
      </c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31" customHeight="1" x14ac:dyDescent="0.35">
      <c r="A72" s="5" t="s">
        <v>508</v>
      </c>
      <c r="B72" s="6" t="s">
        <v>500</v>
      </c>
      <c r="C72" s="6" t="s">
        <v>509</v>
      </c>
      <c r="D72" s="6" t="s">
        <v>171</v>
      </c>
      <c r="E72" s="6" t="s">
        <v>510</v>
      </c>
      <c r="F72" s="8">
        <v>2</v>
      </c>
      <c r="G72" s="11" t="s">
        <v>22</v>
      </c>
      <c r="H72" s="13" t="s">
        <v>511</v>
      </c>
      <c r="I72" s="8" t="s">
        <v>504</v>
      </c>
      <c r="J72" s="13" t="s">
        <v>512</v>
      </c>
      <c r="K72" s="13" t="s">
        <v>376</v>
      </c>
      <c r="L72" s="13" t="s">
        <v>513</v>
      </c>
      <c r="M72" s="21" t="s">
        <v>514</v>
      </c>
      <c r="N72" s="21" t="s">
        <v>515</v>
      </c>
      <c r="O72" s="23" t="s">
        <v>155</v>
      </c>
      <c r="P72" s="21" t="s">
        <v>516</v>
      </c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9.25" customHeight="1" x14ac:dyDescent="0.35">
      <c r="A73" s="5" t="s">
        <v>517</v>
      </c>
      <c r="B73" s="6" t="s">
        <v>500</v>
      </c>
      <c r="C73" s="6" t="s">
        <v>518</v>
      </c>
      <c r="D73" s="6" t="s">
        <v>116</v>
      </c>
      <c r="E73" s="6" t="s">
        <v>519</v>
      </c>
      <c r="F73" s="8">
        <v>2</v>
      </c>
      <c r="G73" s="11" t="s">
        <v>22</v>
      </c>
      <c r="H73" s="13" t="s">
        <v>520</v>
      </c>
      <c r="I73" s="8" t="s">
        <v>504</v>
      </c>
      <c r="J73" s="13" t="s">
        <v>521</v>
      </c>
      <c r="K73" s="13" t="s">
        <v>376</v>
      </c>
      <c r="L73" s="13" t="s">
        <v>37</v>
      </c>
      <c r="M73" s="21" t="s">
        <v>522</v>
      </c>
      <c r="N73" s="21" t="s">
        <v>515</v>
      </c>
      <c r="O73" s="23" t="s">
        <v>155</v>
      </c>
      <c r="P73" s="21" t="s">
        <v>523</v>
      </c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9.25" customHeight="1" x14ac:dyDescent="0.35">
      <c r="A74" s="5" t="s">
        <v>524</v>
      </c>
      <c r="B74" s="6" t="s">
        <v>500</v>
      </c>
      <c r="C74" s="6" t="s">
        <v>525</v>
      </c>
      <c r="D74" s="6" t="s">
        <v>43</v>
      </c>
      <c r="E74" s="6" t="s">
        <v>526</v>
      </c>
      <c r="F74" s="8">
        <v>1</v>
      </c>
      <c r="G74" s="11" t="s">
        <v>35</v>
      </c>
      <c r="H74" s="13" t="s">
        <v>527</v>
      </c>
      <c r="I74" s="8" t="s">
        <v>504</v>
      </c>
      <c r="J74" s="13" t="s">
        <v>371</v>
      </c>
      <c r="K74" s="13" t="s">
        <v>376</v>
      </c>
      <c r="L74" s="13" t="s">
        <v>83</v>
      </c>
      <c r="M74" s="21" t="s">
        <v>528</v>
      </c>
      <c r="N74" s="21" t="s">
        <v>378</v>
      </c>
      <c r="O74" s="23" t="s">
        <v>155</v>
      </c>
      <c r="P74" s="21" t="s">
        <v>529</v>
      </c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9.25" customHeight="1" x14ac:dyDescent="0.35">
      <c r="A75" s="5" t="s">
        <v>530</v>
      </c>
      <c r="B75" s="6" t="s">
        <v>500</v>
      </c>
      <c r="C75" s="6" t="s">
        <v>531</v>
      </c>
      <c r="D75" s="6" t="s">
        <v>43</v>
      </c>
      <c r="E75" s="6" t="s">
        <v>532</v>
      </c>
      <c r="F75" s="8">
        <v>1</v>
      </c>
      <c r="G75" s="11" t="s">
        <v>35</v>
      </c>
      <c r="H75" s="13" t="s">
        <v>533</v>
      </c>
      <c r="I75" s="8" t="s">
        <v>504</v>
      </c>
      <c r="J75" s="13" t="s">
        <v>401</v>
      </c>
      <c r="K75" s="13" t="s">
        <v>376</v>
      </c>
      <c r="L75" s="13" t="s">
        <v>83</v>
      </c>
      <c r="M75" s="21" t="s">
        <v>534</v>
      </c>
      <c r="N75" s="21" t="s">
        <v>378</v>
      </c>
      <c r="O75" s="23" t="s">
        <v>155</v>
      </c>
      <c r="P75" s="21" t="s">
        <v>535</v>
      </c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31" customHeight="1" x14ac:dyDescent="0.35">
      <c r="A76" s="5" t="s">
        <v>536</v>
      </c>
      <c r="B76" s="6" t="s">
        <v>500</v>
      </c>
      <c r="C76" s="6" t="s">
        <v>537</v>
      </c>
      <c r="D76" s="6" t="s">
        <v>171</v>
      </c>
      <c r="E76" s="6" t="s">
        <v>538</v>
      </c>
      <c r="F76" s="8">
        <v>2</v>
      </c>
      <c r="G76" s="11" t="s">
        <v>22</v>
      </c>
      <c r="H76" s="13" t="s">
        <v>539</v>
      </c>
      <c r="I76" s="8" t="s">
        <v>504</v>
      </c>
      <c r="J76" s="13" t="s">
        <v>540</v>
      </c>
      <c r="K76" s="13" t="s">
        <v>376</v>
      </c>
      <c r="L76" s="13" t="s">
        <v>68</v>
      </c>
      <c r="M76" s="21" t="s">
        <v>541</v>
      </c>
      <c r="N76" s="21" t="s">
        <v>466</v>
      </c>
      <c r="O76" s="23" t="s">
        <v>155</v>
      </c>
      <c r="P76" s="21" t="s">
        <v>542</v>
      </c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9.25" customHeight="1" x14ac:dyDescent="0.35">
      <c r="A77" s="5" t="s">
        <v>543</v>
      </c>
      <c r="B77" s="6" t="s">
        <v>544</v>
      </c>
      <c r="C77" s="6" t="s">
        <v>545</v>
      </c>
      <c r="D77" s="6" t="s">
        <v>546</v>
      </c>
      <c r="E77" s="6" t="s">
        <v>547</v>
      </c>
      <c r="F77" s="8">
        <v>5</v>
      </c>
      <c r="G77" s="11" t="s">
        <v>35</v>
      </c>
      <c r="H77" s="13" t="s">
        <v>548</v>
      </c>
      <c r="I77" s="8" t="s">
        <v>136</v>
      </c>
      <c r="J77" s="13" t="s">
        <v>549</v>
      </c>
      <c r="K77" s="13" t="s">
        <v>376</v>
      </c>
      <c r="L77" s="13" t="s">
        <v>37</v>
      </c>
      <c r="M77" s="21" t="s">
        <v>550</v>
      </c>
      <c r="N77" s="21" t="s">
        <v>551</v>
      </c>
      <c r="O77" s="23" t="s">
        <v>155</v>
      </c>
      <c r="P77" s="21" t="s">
        <v>552</v>
      </c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9.25" customHeight="1" x14ac:dyDescent="0.35">
      <c r="A78" s="5" t="s">
        <v>553</v>
      </c>
      <c r="B78" s="6" t="s">
        <v>544</v>
      </c>
      <c r="C78" s="6" t="s">
        <v>554</v>
      </c>
      <c r="D78" s="6" t="s">
        <v>43</v>
      </c>
      <c r="E78" s="6" t="s">
        <v>555</v>
      </c>
      <c r="F78" s="8">
        <v>1</v>
      </c>
      <c r="G78" s="11" t="s">
        <v>35</v>
      </c>
      <c r="H78" s="13" t="s">
        <v>556</v>
      </c>
      <c r="I78" s="8" t="s">
        <v>136</v>
      </c>
      <c r="J78" s="13" t="s">
        <v>401</v>
      </c>
      <c r="K78" s="13" t="s">
        <v>376</v>
      </c>
      <c r="L78" s="13" t="s">
        <v>183</v>
      </c>
      <c r="M78" s="21" t="s">
        <v>557</v>
      </c>
      <c r="N78" s="21" t="s">
        <v>378</v>
      </c>
      <c r="O78" s="23" t="s">
        <v>155</v>
      </c>
      <c r="P78" s="2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9.25" customHeight="1" x14ac:dyDescent="0.35">
      <c r="A79" s="5" t="s">
        <v>558</v>
      </c>
      <c r="B79" s="6" t="s">
        <v>544</v>
      </c>
      <c r="C79" s="6" t="s">
        <v>559</v>
      </c>
      <c r="D79" s="6" t="s">
        <v>20</v>
      </c>
      <c r="E79" s="6" t="s">
        <v>560</v>
      </c>
      <c r="F79" s="8">
        <v>1</v>
      </c>
      <c r="G79" s="11" t="s">
        <v>35</v>
      </c>
      <c r="H79" s="13" t="s">
        <v>561</v>
      </c>
      <c r="I79" s="8" t="s">
        <v>136</v>
      </c>
      <c r="J79" s="13" t="s">
        <v>543</v>
      </c>
      <c r="K79" s="13" t="s">
        <v>376</v>
      </c>
      <c r="L79" s="13" t="s">
        <v>174</v>
      </c>
      <c r="M79" s="21" t="s">
        <v>562</v>
      </c>
      <c r="N79" s="21" t="s">
        <v>39</v>
      </c>
      <c r="O79" s="23" t="s">
        <v>155</v>
      </c>
      <c r="P79" s="21" t="s">
        <v>563</v>
      </c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9.25" customHeight="1" x14ac:dyDescent="0.35">
      <c r="A80" s="5" t="s">
        <v>564</v>
      </c>
      <c r="B80" s="6" t="s">
        <v>565</v>
      </c>
      <c r="C80" s="6" t="s">
        <v>566</v>
      </c>
      <c r="D80" s="6" t="s">
        <v>43</v>
      </c>
      <c r="E80" s="6" t="s">
        <v>567</v>
      </c>
      <c r="F80" s="8">
        <v>3</v>
      </c>
      <c r="G80" s="11" t="s">
        <v>365</v>
      </c>
      <c r="H80" s="13" t="s">
        <v>568</v>
      </c>
      <c r="I80" s="8" t="s">
        <v>504</v>
      </c>
      <c r="J80" s="13" t="s">
        <v>444</v>
      </c>
      <c r="K80" s="13" t="s">
        <v>376</v>
      </c>
      <c r="L80" s="13" t="s">
        <v>37</v>
      </c>
      <c r="M80" s="21" t="s">
        <v>569</v>
      </c>
      <c r="N80" s="21" t="s">
        <v>378</v>
      </c>
      <c r="O80" s="23" t="s">
        <v>155</v>
      </c>
      <c r="P80" s="2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9.25" customHeight="1" x14ac:dyDescent="0.35">
      <c r="A81" s="5" t="s">
        <v>570</v>
      </c>
      <c r="B81" s="6" t="s">
        <v>565</v>
      </c>
      <c r="C81" s="6" t="s">
        <v>571</v>
      </c>
      <c r="D81" s="6" t="s">
        <v>116</v>
      </c>
      <c r="E81" s="6" t="s">
        <v>572</v>
      </c>
      <c r="F81" s="8">
        <v>3</v>
      </c>
      <c r="G81" s="11" t="s">
        <v>365</v>
      </c>
      <c r="H81" s="13" t="s">
        <v>573</v>
      </c>
      <c r="I81" s="8" t="s">
        <v>504</v>
      </c>
      <c r="J81" s="13" t="s">
        <v>574</v>
      </c>
      <c r="K81" s="13" t="s">
        <v>376</v>
      </c>
      <c r="L81" s="13" t="s">
        <v>120</v>
      </c>
      <c r="M81" s="21" t="s">
        <v>575</v>
      </c>
      <c r="N81" s="21" t="s">
        <v>120</v>
      </c>
      <c r="O81" s="23" t="s">
        <v>155</v>
      </c>
      <c r="P81" s="21" t="s">
        <v>576</v>
      </c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9.25" customHeight="1" x14ac:dyDescent="0.35">
      <c r="A82" s="5" t="s">
        <v>577</v>
      </c>
      <c r="B82" s="6" t="s">
        <v>565</v>
      </c>
      <c r="C82" s="6" t="s">
        <v>578</v>
      </c>
      <c r="D82" s="6" t="s">
        <v>43</v>
      </c>
      <c r="E82" s="6" t="s">
        <v>579</v>
      </c>
      <c r="F82" s="8">
        <v>1</v>
      </c>
      <c r="G82" s="11" t="s">
        <v>365</v>
      </c>
      <c r="H82" s="13" t="s">
        <v>580</v>
      </c>
      <c r="I82" s="8" t="s">
        <v>504</v>
      </c>
      <c r="J82" s="13" t="s">
        <v>564</v>
      </c>
      <c r="K82" s="13" t="s">
        <v>376</v>
      </c>
      <c r="L82" s="13" t="s">
        <v>174</v>
      </c>
      <c r="M82" s="21" t="s">
        <v>569</v>
      </c>
      <c r="N82" s="21" t="s">
        <v>378</v>
      </c>
      <c r="O82" s="23" t="s">
        <v>155</v>
      </c>
      <c r="P82" s="21" t="s">
        <v>581</v>
      </c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31" customHeight="1" x14ac:dyDescent="0.35">
      <c r="A83" s="5" t="s">
        <v>582</v>
      </c>
      <c r="B83" s="6" t="s">
        <v>583</v>
      </c>
      <c r="C83" s="6" t="s">
        <v>584</v>
      </c>
      <c r="D83" s="6" t="s">
        <v>43</v>
      </c>
      <c r="E83" s="6" t="s">
        <v>585</v>
      </c>
      <c r="F83" s="8">
        <v>2</v>
      </c>
      <c r="G83" s="11" t="s">
        <v>35</v>
      </c>
      <c r="H83" s="13" t="s">
        <v>586</v>
      </c>
      <c r="I83" s="8" t="s">
        <v>504</v>
      </c>
      <c r="J83" s="13" t="s">
        <v>25</v>
      </c>
      <c r="K83" s="13" t="s">
        <v>338</v>
      </c>
      <c r="L83" s="13" t="s">
        <v>103</v>
      </c>
      <c r="M83" s="21" t="s">
        <v>587</v>
      </c>
      <c r="N83" s="21" t="s">
        <v>588</v>
      </c>
      <c r="O83" s="23" t="s">
        <v>155</v>
      </c>
      <c r="P83" s="2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9.25" customHeight="1" x14ac:dyDescent="0.35">
      <c r="A84" s="5" t="s">
        <v>589</v>
      </c>
      <c r="B84" s="6" t="s">
        <v>583</v>
      </c>
      <c r="C84" s="6" t="s">
        <v>590</v>
      </c>
      <c r="D84" s="6" t="s">
        <v>43</v>
      </c>
      <c r="E84" s="6" t="s">
        <v>591</v>
      </c>
      <c r="F84" s="8">
        <v>1</v>
      </c>
      <c r="G84" s="11" t="s">
        <v>35</v>
      </c>
      <c r="H84" s="13" t="s">
        <v>592</v>
      </c>
      <c r="I84" s="8" t="s">
        <v>504</v>
      </c>
      <c r="J84" s="13" t="s">
        <v>582</v>
      </c>
      <c r="K84" s="13" t="s">
        <v>338</v>
      </c>
      <c r="L84" s="13" t="s">
        <v>37</v>
      </c>
      <c r="M84" s="21" t="s">
        <v>593</v>
      </c>
      <c r="N84" s="21" t="s">
        <v>588</v>
      </c>
      <c r="O84" s="23" t="s">
        <v>155</v>
      </c>
      <c r="P84" s="21" t="s">
        <v>594</v>
      </c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9.25" customHeight="1" x14ac:dyDescent="0.35">
      <c r="A85" s="5" t="s">
        <v>595</v>
      </c>
      <c r="B85" s="6" t="s">
        <v>583</v>
      </c>
      <c r="C85" s="6" t="s">
        <v>596</v>
      </c>
      <c r="D85" s="6" t="s">
        <v>546</v>
      </c>
      <c r="E85" s="6" t="s">
        <v>597</v>
      </c>
      <c r="F85" s="8">
        <v>3</v>
      </c>
      <c r="G85" s="11" t="s">
        <v>35</v>
      </c>
      <c r="H85" s="13" t="s">
        <v>598</v>
      </c>
      <c r="I85" s="8" t="s">
        <v>504</v>
      </c>
      <c r="J85" s="13" t="s">
        <v>599</v>
      </c>
      <c r="K85" s="13" t="s">
        <v>376</v>
      </c>
      <c r="L85" s="13" t="s">
        <v>120</v>
      </c>
      <c r="M85" s="21" t="s">
        <v>600</v>
      </c>
      <c r="N85" s="21" t="s">
        <v>120</v>
      </c>
      <c r="O85" s="23" t="s">
        <v>155</v>
      </c>
      <c r="P85" s="21" t="s">
        <v>601</v>
      </c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9.25" customHeight="1" x14ac:dyDescent="0.35">
      <c r="A86" s="5" t="s">
        <v>602</v>
      </c>
      <c r="B86" s="6" t="s">
        <v>583</v>
      </c>
      <c r="C86" s="6" t="s">
        <v>603</v>
      </c>
      <c r="D86" s="6" t="s">
        <v>604</v>
      </c>
      <c r="E86" s="6" t="s">
        <v>605</v>
      </c>
      <c r="F86" s="8">
        <v>2</v>
      </c>
      <c r="G86" s="11" t="s">
        <v>35</v>
      </c>
      <c r="H86" s="13" t="s">
        <v>606</v>
      </c>
      <c r="I86" s="8" t="s">
        <v>504</v>
      </c>
      <c r="J86" s="13" t="s">
        <v>607</v>
      </c>
      <c r="K86" s="13" t="s">
        <v>338</v>
      </c>
      <c r="L86" s="13" t="s">
        <v>174</v>
      </c>
      <c r="M86" s="21" t="s">
        <v>608</v>
      </c>
      <c r="N86" s="21" t="s">
        <v>609</v>
      </c>
      <c r="O86" s="23" t="s">
        <v>155</v>
      </c>
      <c r="P86" s="21" t="s">
        <v>610</v>
      </c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9.25" customHeight="1" x14ac:dyDescent="0.35">
      <c r="A87" s="5" t="s">
        <v>611</v>
      </c>
      <c r="B87" s="6" t="s">
        <v>583</v>
      </c>
      <c r="C87" s="6" t="s">
        <v>612</v>
      </c>
      <c r="D87" s="6" t="s">
        <v>604</v>
      </c>
      <c r="E87" s="6" t="s">
        <v>613</v>
      </c>
      <c r="F87" s="8">
        <v>2</v>
      </c>
      <c r="G87" s="11" t="s">
        <v>35</v>
      </c>
      <c r="H87" s="13" t="s">
        <v>614</v>
      </c>
      <c r="I87" s="8" t="s">
        <v>504</v>
      </c>
      <c r="J87" s="13" t="s">
        <v>607</v>
      </c>
      <c r="K87" s="13" t="s">
        <v>338</v>
      </c>
      <c r="L87" s="13" t="s">
        <v>120</v>
      </c>
      <c r="M87" s="21" t="s">
        <v>615</v>
      </c>
      <c r="N87" s="21" t="s">
        <v>120</v>
      </c>
      <c r="O87" s="23" t="s">
        <v>155</v>
      </c>
      <c r="P87" s="21" t="s">
        <v>616</v>
      </c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5">
      <c r="A89" s="1"/>
      <c r="B89" s="1"/>
      <c r="C89" s="1"/>
      <c r="D89" s="1"/>
      <c r="E89" s="17" t="s">
        <v>617</v>
      </c>
      <c r="F89" s="18">
        <f>SUM(F3:F87)</f>
        <v>147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5">
      <c r="A90" s="1"/>
      <c r="B90" s="1"/>
      <c r="C90" s="1"/>
      <c r="D90" s="1"/>
      <c r="E90" s="17" t="s">
        <v>618</v>
      </c>
      <c r="F90" s="18">
        <f>SUMIF(G3:G87,"Alta",F3:F87)</f>
        <v>90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5">
      <c r="A91" s="1"/>
      <c r="B91" s="1"/>
      <c r="C91" s="1"/>
      <c r="D91" s="1"/>
      <c r="E91" s="17" t="s">
        <v>619</v>
      </c>
      <c r="F91" s="18">
        <f>SUMIF(G3:G87,"Media",F3:F87)</f>
        <v>49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5">
      <c r="A92" s="1"/>
      <c r="B92" s="1"/>
      <c r="C92" s="1"/>
      <c r="D92" s="1"/>
      <c r="E92" s="17" t="s">
        <v>620</v>
      </c>
      <c r="F92" s="18">
        <f>SUMIF(G3:G87,"Baja",F3:F87)</f>
        <v>8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5">
      <c r="A93" s="1"/>
      <c r="B93" s="1"/>
      <c r="C93" s="1"/>
      <c r="D93" s="1"/>
      <c r="E93" s="17" t="s">
        <v>621</v>
      </c>
      <c r="F93" s="18">
        <f>COUNTA(A3:A87)</f>
        <v>85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26" ht="15.7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26" ht="15.7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26" ht="15.7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26" ht="15.7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26" ht="15.7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26" ht="15.7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spans="1:26" ht="15.7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spans="1:26" ht="15.7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spans="1:26" ht="15.7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spans="1:26" ht="15.7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spans="1:10" ht="15.7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spans="1:10" ht="15.7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spans="1:10" ht="15.7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spans="1:10" ht="15.7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spans="1:10" ht="15.7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spans="1:10" ht="15.7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spans="1:10" ht="15.7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spans="1:10" ht="15.7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spans="1:10" ht="15.7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spans="1:10" ht="15.7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spans="1:10" ht="15.7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spans="1:10" ht="15.7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spans="1:10" ht="15.7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spans="1:10" ht="15.7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spans="1:10" ht="15.7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spans="1:10" ht="15.7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spans="1:10" ht="15.7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spans="1:10" ht="15.7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spans="1:10" ht="15.7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spans="1:10" ht="15.7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spans="1:10" ht="15.7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spans="1:10" ht="15.7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spans="1:10" ht="15.7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spans="1:10" ht="15.7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spans="1:10" ht="15.7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spans="1:10" ht="15.7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spans="1:10" ht="15.7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spans="1:10" ht="15.7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spans="1:10" ht="15.7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spans="1:10" ht="15.7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spans="1:10" ht="15.7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spans="1:10" ht="15.7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spans="1:10" ht="15.7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spans="1:10" ht="15.7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spans="1:10" ht="15.7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spans="1:10" ht="15.7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spans="1:10" ht="15.7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spans="1:10" ht="15.7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spans="1:10" ht="15.7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spans="1:10" ht="15.7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spans="1:10" ht="15.7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spans="1:10" ht="15.7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spans="1:10" ht="15.7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spans="1:10" ht="15.7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spans="1:10" ht="15.7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spans="1:10" ht="15.7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spans="1:10" ht="15.7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spans="1:10" ht="15.7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spans="1:10" ht="15.7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spans="1:10" ht="15.7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spans="1:10" ht="15.7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spans="1:10" ht="15.7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spans="1:10" ht="15.7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spans="1:10" ht="15.7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spans="1:10" ht="15.7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spans="1:10" ht="15.7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spans="1:10" ht="15.7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spans="1:10" ht="15.7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spans="1:10" ht="15.7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spans="1:10" ht="15.7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spans="1:10" ht="15.7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spans="1:10" ht="15.7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spans="1:10" ht="15.7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spans="1:10" ht="15.7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spans="1:10" ht="15.7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spans="1:10" ht="15.7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spans="1:10" ht="15.7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spans="1:10" ht="15.7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spans="1:10" ht="15.7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spans="1:10" ht="15.7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spans="1:10" ht="15.7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spans="1:10" ht="15.7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spans="1:10" ht="15.7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spans="1:10" ht="15.7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spans="1:10" ht="15.7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spans="1:10" ht="15.7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spans="1:10" ht="15.7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spans="1:10" ht="15.7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spans="1:10" ht="15.7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spans="1:10" ht="15.7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spans="1:10" ht="15.7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spans="1:10" ht="15.7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spans="1:10" ht="15.7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spans="1:10" ht="15.7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spans="1:10" ht="15.7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spans="1:10" ht="15.7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spans="1:10" ht="15.7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spans="1:10" ht="15.7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spans="1:10" ht="15.7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spans="1:10" ht="15.7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spans="1:10" ht="15.7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spans="1:10" ht="15.7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spans="1:10" ht="15.7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spans="1:10" ht="15.7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spans="1:10" ht="15.7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spans="1:10" ht="15.7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spans="1:10" ht="15.7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spans="1:10" ht="15.7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spans="1:10" ht="15.7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spans="1:10" ht="15.7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spans="1:10" ht="15.7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spans="1:10" ht="15.7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spans="1:10" ht="15.7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spans="1:10" ht="15.7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spans="1:10" ht="15.7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spans="1:10" ht="15.7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spans="1:10" ht="15.7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spans="1:10" ht="15.7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spans="1:10" ht="15.7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spans="1:10" ht="15.7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spans="1:10" ht="15.7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spans="1:10" ht="15.7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spans="1:10" ht="15.7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spans="1:10" ht="15.7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spans="1:10" ht="15.7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spans="1:10" ht="15.7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spans="1:10" ht="15.7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spans="1:10" ht="15.7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spans="1:10" ht="15.7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spans="1:10" ht="15.7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spans="1:10" ht="15.7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spans="1:10" ht="15.7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spans="1:10" ht="15.7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spans="1:10" ht="15.7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spans="1:10" ht="15.7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spans="1:10" ht="15.7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spans="1:10" ht="15.7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spans="1:10" ht="15.7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spans="1:10" ht="15.7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spans="1:10" ht="15.7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spans="1:10" ht="15.7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spans="1:10" ht="15.7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spans="1:10" ht="15.7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spans="1:10" ht="15.7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spans="1:10" ht="15.7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spans="1:10" ht="15.7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spans="1:10" ht="15.7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spans="1:10" ht="15.7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spans="1:10" ht="15.7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spans="1:10" ht="15.7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spans="1:10" ht="15.7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spans="1:10" ht="15.7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spans="1:10" ht="15.7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spans="1:10" ht="15.7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spans="1:10" ht="15.7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spans="1:10" ht="15.7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spans="1:10" ht="15.7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spans="1:10" ht="15.7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spans="1:10" ht="15.7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spans="1:10" ht="15.7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spans="1:10" ht="15.7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spans="1:10" ht="15.7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spans="1:10" ht="15.7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spans="1:10" ht="15.7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spans="1:10" ht="15.7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spans="1:10" ht="15.7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spans="1:10" ht="15.7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spans="1:10" ht="15.7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spans="1:10" ht="15.7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spans="1:10" ht="15.7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spans="1:10" ht="15.7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spans="1:10" ht="15.7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spans="1:10" ht="15.7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spans="1:10" ht="15.7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spans="1:10" ht="15.7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spans="1:10" ht="15.7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spans="1:10" ht="15.7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spans="1:10" ht="15.7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spans="1:10" ht="15.7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spans="1:10" ht="15.7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spans="1:10" ht="15.7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spans="1:10" ht="15.7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spans="1:10" ht="15.7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spans="1:10" ht="15.7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spans="1:10" ht="15.7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spans="1:10" ht="15.7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spans="1:10" ht="15.7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spans="1:10" ht="15.7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spans="1:10" ht="15.7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spans="1:10" ht="15.7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spans="1:10" ht="15.7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spans="1:10" ht="15.7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spans="1:10" ht="15.7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spans="1:10" ht="15.7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spans="1:10" ht="15.7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spans="1:10" ht="15.7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spans="1:10" ht="15.7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spans="1:10" ht="15.7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spans="1:10" ht="15.7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spans="1:10" ht="15.7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spans="1:10" ht="15.7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spans="1:10" ht="15.7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spans="1:10" ht="15.7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spans="1:10" ht="15.7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spans="1:10" ht="15.7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spans="1:10" ht="15.7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spans="1:10" ht="15.7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spans="1:10" ht="15.7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spans="1:10" ht="15.7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spans="1:10" ht="15.7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spans="1:10" ht="15.7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spans="1:10" ht="15.7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spans="1:10" ht="15.7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spans="1:10" ht="15.7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spans="1:10" ht="15.7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spans="1:10" ht="15.7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spans="1:10" ht="15.7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spans="1:10" ht="15.7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spans="1:10" ht="15.7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spans="1:10" ht="15.7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spans="1:10" ht="15.7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spans="1:10" ht="15.7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spans="1:10" ht="15.7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spans="1:10" ht="15.7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spans="1:10" ht="15.7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spans="1:10" ht="15.7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spans="1:10" ht="15.7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spans="1:10" ht="15.7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spans="1:10" ht="15.7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spans="1:10" ht="15.7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spans="1:10" ht="15.7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spans="1:10" ht="15.7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spans="1:10" ht="15.7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spans="1:10" ht="15.7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spans="1:10" ht="15.7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spans="1:10" ht="15.7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spans="1:10" ht="15.7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spans="1:10" ht="15.7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spans="1:10" ht="15.7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spans="1:10" ht="15.7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spans="1:10" ht="15.7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spans="1:10" ht="15.7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spans="1:10" ht="15.7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spans="1:10" ht="15.7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spans="1:10" ht="15.7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spans="1:10" ht="15.7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spans="1:10" ht="15.7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spans="1:10" ht="15.7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spans="1:10" ht="15.7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spans="1:10" ht="15.7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spans="1:10" ht="15.7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spans="1:10" ht="15.7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spans="1:10" ht="15.7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spans="1:10" ht="15.7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spans="1:10" ht="15.7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spans="1:10" ht="15.7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spans="1:10" ht="15.7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spans="1:10" ht="15.7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spans="1:10" ht="15.7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spans="1:10" ht="15.7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spans="1:10" ht="15.7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spans="1:10" ht="15.7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spans="1:10" ht="15.7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spans="1:10" ht="15.7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spans="1:10" ht="15.7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spans="1:10" ht="15.7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spans="1:10" ht="15.7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spans="1:10" ht="15.7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spans="1:10" ht="15.7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spans="1:10" ht="15.7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spans="1:10" ht="15.7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spans="1:10" ht="15.7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spans="1:10" ht="15.7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spans="1:10" ht="15.7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spans="1:10" ht="15.7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spans="1:10" ht="15.7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spans="1:10" ht="15.7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spans="1:10" ht="15.7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spans="1:10" ht="15.7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spans="1:10" ht="15.7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spans="1:10" ht="15.7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spans="1:10" ht="15.7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spans="1:10" ht="15.7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spans="1:10" ht="15.7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spans="1:10" ht="15.7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spans="1:10" ht="15.7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spans="1:10" ht="15.7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spans="1:10" ht="15.7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spans="1:10" ht="15.7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spans="1:10" ht="15.7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spans="1:10" ht="15.7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spans="1:10" ht="15.7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spans="1:10" ht="15.7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spans="1:10" ht="15.7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spans="1:10" ht="15.7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spans="1:10" ht="15.7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spans="1:10" ht="15.7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spans="1:10" ht="15.7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spans="1:10" ht="15.7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spans="1:10" ht="15.7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spans="1:10" ht="15.7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spans="1:10" ht="15.7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spans="1:10" ht="15.7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spans="1:10" ht="15.7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spans="1:10" ht="15.7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spans="1:10" ht="15.7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spans="1:10" ht="15.7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spans="1:10" ht="15.7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spans="1:10" ht="15.7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spans="1:10" ht="15.7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spans="1:10" ht="15.7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spans="1:10" ht="15.7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spans="1:10" ht="15.7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spans="1:10" ht="15.7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spans="1:10" ht="15.7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spans="1:10" ht="15.7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spans="1:10" ht="15.7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spans="1:10" ht="15.7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spans="1:10" ht="15.7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spans="1:10" ht="15.7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spans="1:10" ht="15.7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spans="1:10" ht="15.7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spans="1:10" ht="15.7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spans="1:10" ht="15.7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spans="1:10" ht="15.7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spans="1:10" ht="15.7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spans="1:10" ht="15.7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spans="1:10" ht="15.7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spans="1:10" ht="15.7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spans="1:10" ht="15.7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spans="1:10" ht="15.7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spans="1:10" ht="15.7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spans="1:10" ht="15.7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spans="1:10" ht="15.7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spans="1:10" ht="15.7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spans="1:10" ht="15.7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spans="1:10" ht="15.7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spans="1:10" ht="15.7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spans="1:10" ht="15.7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spans="1:10" ht="15.7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spans="1:10" ht="15.7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spans="1:10" ht="15.7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spans="1:10" ht="15.7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spans="1:10" ht="15.7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spans="1:10" ht="15.7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spans="1:10" ht="15.7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spans="1:10" ht="15.7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spans="1:10" ht="15.7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spans="1:10" ht="15.7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spans="1:10" ht="15.7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spans="1:10" ht="15.7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spans="1:10" ht="15.7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spans="1:10" ht="15.7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spans="1:10" ht="15.7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spans="1:10" ht="15.7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spans="1:10" ht="15.7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spans="1:10" ht="15.7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spans="1:10" ht="15.7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spans="1:10" ht="15.7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spans="1:10" ht="15.7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spans="1:10" ht="15.7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spans="1:10" ht="15.7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spans="1:10" ht="15.7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spans="1:10" ht="15.7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spans="1:10" ht="15.7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spans="1:10" ht="15.7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spans="1:10" ht="15.7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spans="1:10" ht="15.7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spans="1:10" ht="15.7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spans="1:10" ht="15.7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spans="1:10" ht="15.7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spans="1:10" ht="15.7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spans="1:10" ht="15.7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spans="1:10" ht="15.7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spans="1:10" ht="15.7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spans="1:10" ht="15.7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spans="1:10" ht="15.7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spans="1:10" ht="15.7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spans="1:10" ht="15.7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spans="1:10" ht="15.7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spans="1:10" ht="15.7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spans="1:10" ht="15.7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spans="1:10" ht="15.7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spans="1:10" ht="15.7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spans="1:10" ht="15.7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spans="1:10" ht="15.7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spans="1:10" ht="15.7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spans="1:10" ht="15.7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spans="1:10" ht="15.7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spans="1:10" ht="15.7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spans="1:10" ht="15.7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spans="1:10" ht="15.7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spans="1:10" ht="15.7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spans="1:10" ht="15.7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spans="1:10" ht="15.7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spans="1:10" ht="15.7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spans="1:10" ht="15.7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spans="1:10" ht="15.7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spans="1:10" ht="15.7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spans="1:10" ht="15.7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spans="1:10" ht="15.7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spans="1:10" ht="15.7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spans="1:10" ht="15.7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spans="1:10" ht="15.7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spans="1:10" ht="15.7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spans="1:10" ht="15.7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spans="1:10" ht="15.7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spans="1:10" ht="15.7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spans="1:10" ht="15.7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spans="1:10" ht="15.7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spans="1:10" ht="15.7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spans="1:10" ht="15.7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spans="1:10" ht="15.7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spans="1:10" ht="15.7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spans="1:10" ht="15.7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spans="1:10" ht="15.7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spans="1:10" ht="15.7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spans="1:10" ht="15.7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spans="1:10" ht="15.7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spans="1:10" ht="15.7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spans="1:10" ht="15.7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spans="1:10" ht="15.7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spans="1:10" ht="15.7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spans="1:10" ht="15.7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spans="1:10" ht="15.7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spans="1:10" ht="15.7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spans="1:10" ht="15.7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spans="1:10" ht="15.7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spans="1:10" ht="15.7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spans="1:10" ht="15.7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spans="1:10" ht="15.7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spans="1:10" ht="15.7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spans="1:10" ht="15.7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spans="1:10" ht="15.7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spans="1:10" ht="15.7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spans="1:10" ht="15.7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spans="1:10" ht="15.7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spans="1:10" ht="15.7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spans="1:10" ht="15.7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spans="1:10" ht="15.7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spans="1:10" ht="15.7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spans="1:10" ht="15.7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spans="1:10" ht="15.7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spans="1:10" ht="15.7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spans="1:10" ht="15.7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spans="1:10" ht="15.7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spans="1:10" ht="15.7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spans="1:10" ht="15.7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spans="1:10" ht="15.7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spans="1:10" ht="15.7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spans="1:10" ht="15.7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spans="1:10" ht="15.7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spans="1:10" ht="15.7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spans="1:10" ht="15.7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spans="1:10" ht="15.7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spans="1:10" ht="15.7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spans="1:10" ht="15.7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spans="1:10" ht="15.7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spans="1:10" ht="15.7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spans="1:10" ht="15.7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spans="1:10" ht="15.7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spans="1:10" ht="15.7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spans="1:10" ht="15.7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spans="1:10" ht="15.7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spans="1:10" ht="15.7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spans="1:10" ht="15.7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spans="1:10" ht="15.7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spans="1:10" ht="15.7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spans="1:10" ht="15.7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spans="1:10" ht="15.7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spans="1:10" ht="15.7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spans="1:10" ht="15.7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spans="1:10" ht="15.7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spans="1:10" ht="15.7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spans="1:10" ht="15.7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spans="1:10" ht="15.7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spans="1:10" ht="15.7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spans="1:10" ht="15.7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spans="1:10" ht="15.7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spans="1:10" ht="15.7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spans="1:10" ht="15.7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spans="1:10" ht="15.7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spans="1:10" ht="15.7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spans="1:10" ht="15.7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spans="1:10" ht="15.7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spans="1:10" ht="15.7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spans="1:10" ht="15.7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spans="1:10" ht="15.7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spans="1:10" ht="15.7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spans="1:10" ht="15.7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spans="1:10" ht="15.7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spans="1:10" ht="15.7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spans="1:10" ht="15.7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spans="1:10" ht="15.7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spans="1:10" ht="15.7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spans="1:10" ht="15.7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spans="1:10" ht="15.7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spans="1:10" ht="15.7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spans="1:10" ht="15.7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spans="1:10" ht="15.7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spans="1:10" ht="15.7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spans="1:10" ht="15.7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spans="1:10" ht="15.7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spans="1:10" ht="15.7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spans="1:10" ht="15.7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spans="1:10" ht="15.7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spans="1:10" ht="15.7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spans="1:10" ht="15.7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spans="1:10" ht="15.7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spans="1:10" ht="15.7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spans="1:10" ht="15.7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spans="1:10" ht="15.7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spans="1:10" ht="15.7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spans="1:10" ht="15.7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spans="1:10" ht="15.7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spans="1:10" ht="15.7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spans="1:10" ht="15.7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spans="1:10" ht="15.7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spans="1:10" ht="15.7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spans="1:10" ht="15.7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spans="1:10" ht="15.7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spans="1:10" ht="15.7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spans="1:10" ht="15.7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spans="1:10" ht="15.7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spans="1:10" ht="15.7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spans="1:10" ht="15.7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spans="1:10" ht="15.7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spans="1:10" ht="15.7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spans="1:10" ht="15.7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spans="1:10" ht="15.7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spans="1:10" ht="15.7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spans="1:10" ht="15.7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spans="1:10" ht="15.7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spans="1:10" ht="15.7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spans="1:10" ht="15.7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spans="1:10" ht="15.7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spans="1:10" ht="15.7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spans="1:10" ht="15.7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spans="1:10" ht="15.7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spans="1:10" ht="15.7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spans="1:10" ht="15.7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spans="1:10" ht="15.7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spans="1:10" ht="15.7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spans="1:10" ht="15.7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spans="1:10" ht="15.7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spans="1:10" ht="15.7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spans="1:10" ht="15.7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spans="1:10" ht="15.7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spans="1:10" ht="15.7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spans="1:10" ht="15.7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spans="1:10" ht="15.7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spans="1:10" ht="15.7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spans="1:10" ht="15.7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spans="1:10" ht="15.7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spans="1:10" ht="15.7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spans="1:10" ht="15.7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spans="1:10" ht="15.7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spans="1:10" ht="15.7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spans="1:10" ht="15.7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spans="1:10" ht="15.7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spans="1:10" ht="15.7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spans="1:10" ht="15.7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spans="1:10" ht="15.7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spans="1:10" ht="15.7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spans="1:10" ht="15.7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spans="1:10" ht="15.7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spans="1:10" ht="15.7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spans="1:10" ht="15.7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spans="1:10" ht="15.7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spans="1:10" ht="15.7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spans="1:10" ht="15.7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spans="1:10" ht="15.7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spans="1:10" ht="15.7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spans="1:10" ht="15.7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spans="1:10" ht="15.7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spans="1:10" ht="15.7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spans="1:10" ht="15.7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spans="1:10" ht="15.7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spans="1:10" ht="15.7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spans="1:10" ht="15.7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spans="1:10" ht="15.7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spans="1:10" ht="15.7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spans="1:10" ht="15.7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spans="1:10" ht="15.7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spans="1:10" ht="15.7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spans="1:10" ht="15.7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spans="1:10" ht="15.7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spans="1:10" ht="15.7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spans="1:10" ht="15.7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spans="1:10" ht="15.7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spans="1:10" ht="15.7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spans="1:10" ht="15.7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spans="1:10" ht="15.7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spans="1:10" ht="15.7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spans="1:10" ht="15.7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spans="1:10" ht="15.7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 spans="1:10" ht="15.7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 spans="1:10" ht="15.7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 spans="1:10" ht="15.7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 spans="1:10" ht="15.7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 spans="1:10" ht="15.7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 spans="1:10" ht="15.7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 spans="1:10" ht="15.7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 spans="1:10" ht="15.7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 spans="1:10" ht="15.7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 spans="1:10" ht="15.7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 spans="1:10" ht="15.7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 spans="1:10" ht="15.7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 spans="1:10" ht="15.7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 spans="1:10" ht="15.7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 spans="1:10" ht="15.7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 spans="1:10" ht="15.7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</row>
    <row r="907" spans="1:10" ht="15.7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</row>
    <row r="908" spans="1:10" ht="15.7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</row>
    <row r="909" spans="1:10" ht="15.7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</row>
    <row r="910" spans="1:10" ht="15.7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</row>
    <row r="911" spans="1:10" ht="15.7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</row>
    <row r="912" spans="1:10" ht="15.7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</row>
    <row r="913" spans="1:10" ht="15.7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</row>
    <row r="914" spans="1:10" ht="15.7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 spans="1:10" ht="15.7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</row>
    <row r="916" spans="1:10" ht="15.7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</row>
    <row r="917" spans="1:10" ht="15.7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</row>
    <row r="918" spans="1:10" ht="15.7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</row>
    <row r="919" spans="1:10" ht="15.7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</row>
    <row r="920" spans="1:10" ht="15.7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</row>
    <row r="921" spans="1:10" ht="15.7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</row>
    <row r="922" spans="1:10" ht="15.7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</row>
    <row r="923" spans="1:10" ht="15.7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</row>
    <row r="924" spans="1:10" ht="15.7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</row>
    <row r="925" spans="1:10" ht="15.7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</row>
    <row r="926" spans="1:10" ht="15.7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</row>
    <row r="927" spans="1:10" ht="15.7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</row>
    <row r="928" spans="1:10" ht="15.7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</row>
    <row r="929" spans="1:10" ht="15.7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</row>
    <row r="930" spans="1:10" ht="15.7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</row>
    <row r="931" spans="1:10" ht="15.7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</row>
    <row r="932" spans="1:10" ht="15.7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</row>
    <row r="933" spans="1:10" ht="15.7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</row>
    <row r="934" spans="1:10" ht="15.7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</row>
    <row r="935" spans="1:10" ht="15.7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</row>
    <row r="936" spans="1:10" ht="15.7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</row>
    <row r="937" spans="1:10" ht="15.7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</row>
    <row r="938" spans="1:10" ht="15.7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</row>
    <row r="939" spans="1:10" ht="15.7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</row>
    <row r="940" spans="1:10" ht="15.7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 spans="1:10" ht="15.7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</row>
    <row r="942" spans="1:10" ht="15.7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</row>
    <row r="943" spans="1:10" ht="15.7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</row>
    <row r="944" spans="1:10" ht="15.7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</row>
    <row r="945" spans="1:10" ht="15.7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</row>
    <row r="946" spans="1:10" ht="15.7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</row>
    <row r="947" spans="1:10" ht="15.7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</row>
    <row r="948" spans="1:10" ht="15.7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</row>
    <row r="949" spans="1:10" ht="15.7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</row>
    <row r="950" spans="1:10" ht="15.7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</row>
    <row r="951" spans="1:10" ht="15.7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</row>
    <row r="952" spans="1:10" ht="15.7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</row>
    <row r="953" spans="1:10" ht="15.7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</row>
    <row r="954" spans="1:10" ht="15.7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</row>
    <row r="955" spans="1:10" ht="15.7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</row>
    <row r="956" spans="1:10" ht="15.7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</row>
    <row r="957" spans="1:10" ht="15.7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</row>
    <row r="958" spans="1:10" ht="15.7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</row>
    <row r="959" spans="1:10" ht="15.7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</row>
    <row r="960" spans="1:10" ht="15.7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</row>
    <row r="961" spans="1:10" ht="15.7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</row>
    <row r="962" spans="1:10" ht="15.7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</row>
    <row r="963" spans="1:10" ht="15.7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</row>
    <row r="964" spans="1:10" ht="15.7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</row>
    <row r="965" spans="1:10" ht="15.7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</row>
    <row r="966" spans="1:10" ht="15.7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</row>
    <row r="967" spans="1:10" ht="15.7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</row>
    <row r="968" spans="1:10" ht="15.7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</row>
    <row r="969" spans="1:10" ht="15.7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</row>
    <row r="970" spans="1:10" ht="15.7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</row>
    <row r="971" spans="1:10" ht="15.7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</row>
    <row r="972" spans="1:10" ht="15.7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</row>
    <row r="973" spans="1:10" ht="15.7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</row>
    <row r="974" spans="1:10" ht="15.7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</row>
    <row r="975" spans="1:10" ht="15.7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</row>
    <row r="976" spans="1:10" ht="15.7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</row>
    <row r="977" spans="1:10" ht="15.7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</row>
    <row r="978" spans="1:10" ht="15.7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</row>
    <row r="979" spans="1:10" ht="15.7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</row>
    <row r="980" spans="1:10" ht="15.7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</row>
    <row r="981" spans="1:10" ht="15.7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</row>
    <row r="982" spans="1:10" ht="15.7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</row>
    <row r="983" spans="1:10" ht="15.75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</row>
    <row r="984" spans="1:10" ht="15.75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</row>
    <row r="985" spans="1:10" ht="15.75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</row>
    <row r="986" spans="1:10" ht="15.75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</row>
    <row r="987" spans="1:10" ht="15.75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</row>
    <row r="988" spans="1:10" ht="15.75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</row>
    <row r="989" spans="1:10" ht="15.75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</row>
    <row r="990" spans="1:10" ht="15.75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</row>
    <row r="991" spans="1:10" ht="15.75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</row>
    <row r="992" spans="1:10" ht="15.75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</row>
    <row r="993" spans="1:10" ht="15.75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</row>
    <row r="994" spans="1:10" ht="15.75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</row>
    <row r="995" spans="1:10" ht="15.75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</row>
    <row r="996" spans="1:10" ht="15.75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</row>
    <row r="997" spans="1:10" ht="15.75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</row>
    <row r="998" spans="1:10" ht="15.75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</row>
    <row r="999" spans="1:10" ht="15.75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</row>
    <row r="1000" spans="1:10" ht="15.75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</row>
  </sheetData>
  <mergeCells count="1">
    <mergeCell ref="A1:P1"/>
  </mergeCells>
  <conditionalFormatting sqref="G3:G87">
    <cfRule type="cellIs" dxfId="2" priority="1" operator="equal">
      <formula>"Alta"</formula>
    </cfRule>
    <cfRule type="cellIs" dxfId="1" priority="2" operator="equal">
      <formula>"Media"</formula>
    </cfRule>
    <cfRule type="cellIs" dxfId="0" priority="3" operator="equal">
      <formula>"Baja"</formula>
    </cfRule>
  </conditionalFormatting>
  <dataValidations count="4">
    <dataValidation type="list" allowBlank="1" sqref="I3:I87" xr:uid="{00000000-0002-0000-0100-000000000000}">
      <formula1>"SPRINT 1,SPRINT 2,SPRINT 3,SPRINT 4"</formula1>
    </dataValidation>
    <dataValidation type="list" allowBlank="1" sqref="G3:G87" xr:uid="{00000000-0002-0000-0100-000001000000}">
      <formula1>"Alta,Media,Baja"</formula1>
    </dataValidation>
    <dataValidation type="list" allowBlank="1" sqref="K3:K87" xr:uid="{00000000-0002-0000-0100-000002000000}">
      <formula1>"ms-auth-catalogs,ms-document-management,ms-workflow-bpm,ms-audit-infra"</formula1>
    </dataValidation>
    <dataValidation type="list" allowBlank="1" sqref="O3:O87" xr:uid="{00000000-0002-0000-0100-000003000000}">
      <formula1>"Implementado,En progreso,Pendiente"</formula1>
    </dataValidation>
  </dataValidations>
  <pageMargins left="0.75" right="0.75" top="1" bottom="1" header="0" footer="0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"/>
  <sheetViews>
    <sheetView workbookViewId="0">
      <pane ySplit="2" topLeftCell="A3" activePane="bottomLeft" state="frozen"/>
      <selection pane="bottomLeft"/>
    </sheetView>
  </sheetViews>
  <sheetFormatPr baseColWidth="10" defaultColWidth="8.7265625" defaultRowHeight="14.5" x14ac:dyDescent="0.35"/>
  <cols>
    <col min="1" max="1" width="26" customWidth="1"/>
    <col min="2" max="2" width="46" customWidth="1"/>
    <col min="3" max="3" width="22" customWidth="1"/>
    <col min="4" max="4" width="26" customWidth="1"/>
    <col min="5" max="5" width="18" customWidth="1"/>
    <col min="6" max="7" width="14" customWidth="1"/>
    <col min="8" max="8" width="16" customWidth="1"/>
    <col min="9" max="9" width="15" customWidth="1"/>
  </cols>
  <sheetData>
    <row r="1" spans="1:9" ht="33.75" customHeight="1" x14ac:dyDescent="0.35">
      <c r="A1" s="28" t="s">
        <v>719</v>
      </c>
      <c r="B1" s="29"/>
      <c r="C1" s="29"/>
      <c r="D1" s="29"/>
      <c r="E1" s="29"/>
      <c r="F1" s="29"/>
      <c r="G1" s="29"/>
      <c r="H1" s="29"/>
      <c r="I1" s="29"/>
    </row>
    <row r="2" spans="1:9" ht="30" customHeight="1" x14ac:dyDescent="0.35">
      <c r="A2" s="2" t="s">
        <v>11</v>
      </c>
      <c r="B2" s="2" t="s">
        <v>720</v>
      </c>
      <c r="C2" s="2" t="s">
        <v>721</v>
      </c>
      <c r="D2" s="2" t="s">
        <v>722</v>
      </c>
      <c r="E2" s="2" t="s">
        <v>723</v>
      </c>
      <c r="F2" s="2" t="s">
        <v>724</v>
      </c>
      <c r="G2" s="2" t="s">
        <v>725</v>
      </c>
      <c r="H2" s="2" t="s">
        <v>726</v>
      </c>
      <c r="I2" s="2" t="s">
        <v>727</v>
      </c>
    </row>
    <row r="3" spans="1:9" ht="29.25" customHeight="1" x14ac:dyDescent="0.35">
      <c r="A3" s="8" t="s">
        <v>26</v>
      </c>
      <c r="B3" s="8" t="s">
        <v>728</v>
      </c>
      <c r="C3" s="8" t="s">
        <v>729</v>
      </c>
      <c r="D3" s="8" t="s">
        <v>730</v>
      </c>
      <c r="E3" s="8" t="s">
        <v>731</v>
      </c>
      <c r="F3" s="8">
        <f>COUNTIF('Product Backlog'!$K$3:$K$87,$A3)</f>
        <v>17</v>
      </c>
      <c r="G3" s="8">
        <f>SUMIF('Product Backlog'!$K$3:$K$87,$A3,'Product Backlog'!$F$3:$F$87)</f>
        <v>26</v>
      </c>
      <c r="H3" s="8">
        <f>COUNTIFS('Product Backlog'!$K$3:$K$87,$A3,'Product Backlog'!$O$3:$O$87,"Implementado")</f>
        <v>17</v>
      </c>
      <c r="I3" s="24">
        <f>IF(F3=0,0,H3/F3)</f>
        <v>1</v>
      </c>
    </row>
    <row r="4" spans="1:9" ht="29.25" customHeight="1" x14ac:dyDescent="0.35">
      <c r="A4" s="8" t="s">
        <v>152</v>
      </c>
      <c r="B4" s="8" t="s">
        <v>732</v>
      </c>
      <c r="C4" s="8" t="s">
        <v>733</v>
      </c>
      <c r="D4" s="8" t="s">
        <v>734</v>
      </c>
      <c r="E4" s="8" t="s">
        <v>735</v>
      </c>
      <c r="F4" s="8">
        <f>COUNTIF('Product Backlog'!$K$3:$K$87,$A4)</f>
        <v>25</v>
      </c>
      <c r="G4" s="8">
        <f>SUMIF('Product Backlog'!$K$3:$K$87,$A4,'Product Backlog'!$F$3:$F$87)</f>
        <v>45</v>
      </c>
      <c r="H4" s="8">
        <f>COUNTIFS('Product Backlog'!$K$3:$K$87,$A4,'Product Backlog'!$O$3:$O$87,"Implementado")</f>
        <v>0</v>
      </c>
      <c r="I4" s="24">
        <f>IF(F4=0,0,H4/F4)</f>
        <v>0</v>
      </c>
    </row>
    <row r="5" spans="1:9" ht="29.25" customHeight="1" x14ac:dyDescent="0.35">
      <c r="A5" s="8" t="s">
        <v>376</v>
      </c>
      <c r="B5" s="8" t="s">
        <v>736</v>
      </c>
      <c r="C5" s="8" t="s">
        <v>737</v>
      </c>
      <c r="D5" s="8" t="s">
        <v>738</v>
      </c>
      <c r="E5" s="8" t="s">
        <v>739</v>
      </c>
      <c r="F5" s="8">
        <f>COUNTIF('Product Backlog'!$K$3:$K$87,$A5)</f>
        <v>34</v>
      </c>
      <c r="G5" s="8">
        <f>SUMIF('Product Backlog'!$K$3:$K$87,$A5,'Product Backlog'!$F$3:$F$87)</f>
        <v>60</v>
      </c>
      <c r="H5" s="8">
        <f>COUNTIFS('Product Backlog'!$K$3:$K$87,$A5,'Product Backlog'!$O$3:$O$87,"Implementado")</f>
        <v>0</v>
      </c>
      <c r="I5" s="24">
        <f>IF(F5=0,0,H5/F5)</f>
        <v>0</v>
      </c>
    </row>
    <row r="6" spans="1:9" ht="29.25" customHeight="1" x14ac:dyDescent="0.35">
      <c r="A6" s="8" t="s">
        <v>338</v>
      </c>
      <c r="B6" s="8" t="s">
        <v>740</v>
      </c>
      <c r="C6" s="8" t="s">
        <v>741</v>
      </c>
      <c r="D6" s="8" t="s">
        <v>742</v>
      </c>
      <c r="E6" s="8" t="s">
        <v>743</v>
      </c>
      <c r="F6" s="8">
        <f>COUNTIF('Product Backlog'!$K$3:$K$87,$A6)</f>
        <v>9</v>
      </c>
      <c r="G6" s="8">
        <f>SUMIF('Product Backlog'!$K$3:$K$87,$A6,'Product Backlog'!$F$3:$F$87)</f>
        <v>16</v>
      </c>
      <c r="H6" s="8">
        <f>COUNTIFS('Product Backlog'!$K$3:$K$87,$A6,'Product Backlog'!$O$3:$O$87,"Implementado")</f>
        <v>0</v>
      </c>
      <c r="I6" s="24">
        <f>IF(F6=0,0,H6/F6)</f>
        <v>0</v>
      </c>
    </row>
    <row r="7" spans="1:9" x14ac:dyDescent="0.35">
      <c r="A7" s="25" t="s">
        <v>744</v>
      </c>
      <c r="B7" s="26"/>
      <c r="C7" s="26"/>
      <c r="D7" s="26"/>
      <c r="E7" s="26"/>
      <c r="F7" s="26">
        <f>SUM(F3:F6)</f>
        <v>85</v>
      </c>
      <c r="G7" s="26">
        <f>SUM(G3:G6)</f>
        <v>147</v>
      </c>
      <c r="H7" s="26">
        <f>SUM(H3:H6)</f>
        <v>17</v>
      </c>
      <c r="I7" s="27">
        <f>IF(F7=0,0,H7/F7)</f>
        <v>0.2</v>
      </c>
    </row>
    <row r="9" spans="1:9" x14ac:dyDescent="0.35">
      <c r="A9" s="32" t="s">
        <v>745</v>
      </c>
      <c r="B9" s="29"/>
      <c r="C9" s="29"/>
      <c r="D9" s="29"/>
      <c r="E9" s="29"/>
      <c r="F9" s="29"/>
      <c r="G9" s="29"/>
      <c r="H9" s="29"/>
      <c r="I9" s="29"/>
    </row>
    <row r="10" spans="1:9" ht="27" customHeight="1" x14ac:dyDescent="0.35">
      <c r="A10" s="31" t="s">
        <v>746</v>
      </c>
      <c r="B10" s="29"/>
      <c r="C10" s="29"/>
      <c r="D10" s="29"/>
      <c r="E10" s="29"/>
      <c r="F10" s="29"/>
      <c r="G10" s="29"/>
      <c r="H10" s="29"/>
      <c r="I10" s="29"/>
    </row>
    <row r="11" spans="1:9" ht="27" customHeight="1" x14ac:dyDescent="0.35">
      <c r="A11" s="31" t="s">
        <v>747</v>
      </c>
      <c r="B11" s="29"/>
      <c r="C11" s="29"/>
      <c r="D11" s="29"/>
      <c r="E11" s="29"/>
      <c r="F11" s="29"/>
      <c r="G11" s="29"/>
      <c r="H11" s="29"/>
      <c r="I11" s="29"/>
    </row>
    <row r="12" spans="1:9" ht="27" customHeight="1" x14ac:dyDescent="0.35">
      <c r="A12" s="31" t="s">
        <v>748</v>
      </c>
      <c r="B12" s="29"/>
      <c r="C12" s="29"/>
      <c r="D12" s="29"/>
      <c r="E12" s="29"/>
      <c r="F12" s="29"/>
      <c r="G12" s="29"/>
      <c r="H12" s="29"/>
      <c r="I12" s="29"/>
    </row>
    <row r="13" spans="1:9" ht="27" customHeight="1" x14ac:dyDescent="0.35">
      <c r="A13" s="31" t="s">
        <v>749</v>
      </c>
      <c r="B13" s="29"/>
      <c r="C13" s="29"/>
      <c r="D13" s="29"/>
      <c r="E13" s="29"/>
      <c r="F13" s="29"/>
      <c r="G13" s="29"/>
      <c r="H13" s="29"/>
      <c r="I13" s="29"/>
    </row>
    <row r="14" spans="1:9" ht="27" customHeight="1" x14ac:dyDescent="0.35">
      <c r="A14" s="31" t="s">
        <v>750</v>
      </c>
      <c r="B14" s="29"/>
      <c r="C14" s="29"/>
      <c r="D14" s="29"/>
      <c r="E14" s="29"/>
      <c r="F14" s="29"/>
      <c r="G14" s="29"/>
      <c r="H14" s="29"/>
      <c r="I14" s="29"/>
    </row>
  </sheetData>
  <mergeCells count="7">
    <mergeCell ref="A11:I11"/>
    <mergeCell ref="A10:I10"/>
    <mergeCell ref="A13:I13"/>
    <mergeCell ref="A14:I14"/>
    <mergeCell ref="A1:I1"/>
    <mergeCell ref="A9:I9"/>
    <mergeCell ref="A12:I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V1000"/>
  <sheetViews>
    <sheetView showGridLines="0" workbookViewId="0"/>
  </sheetViews>
  <sheetFormatPr baseColWidth="10" defaultColWidth="14.453125" defaultRowHeight="15" customHeight="1" x14ac:dyDescent="0.35"/>
  <cols>
    <col min="1" max="1" width="14" customWidth="1"/>
    <col min="2" max="2" width="42" customWidth="1"/>
    <col min="3" max="3" width="22" customWidth="1"/>
    <col min="4" max="4" width="66" customWidth="1"/>
    <col min="5" max="5" width="10" customWidth="1"/>
    <col min="6" max="6" width="3" customWidth="1"/>
  </cols>
  <sheetData>
    <row r="1" spans="1:22" ht="33.75" customHeight="1" x14ac:dyDescent="0.35">
      <c r="A1" s="37" t="s">
        <v>751</v>
      </c>
      <c r="B1" s="29"/>
      <c r="C1" s="29"/>
      <c r="D1" s="29"/>
      <c r="E1" s="29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30" customHeight="1" x14ac:dyDescent="0.35">
      <c r="A2" s="3" t="s">
        <v>9</v>
      </c>
      <c r="B2" s="3" t="s">
        <v>752</v>
      </c>
      <c r="C2" s="3" t="s">
        <v>753</v>
      </c>
      <c r="D2" s="3" t="s">
        <v>627</v>
      </c>
      <c r="E2" s="3" t="s">
        <v>754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5.75" customHeight="1" x14ac:dyDescent="0.35">
      <c r="A3" s="36" t="s">
        <v>24</v>
      </c>
      <c r="B3" s="33" t="s">
        <v>755</v>
      </c>
      <c r="C3" s="12" t="s">
        <v>17</v>
      </c>
      <c r="D3" s="16" t="str">
        <f t="array" ref="D3">INDEX('Product Backlog'!$C$3:$C$87,MATCH($C3,'Product Backlog'!$A$3:$A$87,0))</f>
        <v>Iniciar sesión</v>
      </c>
      <c r="E3" s="15">
        <f t="array" ref="E3">INDEX('Product Backlog'!$F$3:$F$87,MATCH($C3,'Product Backlog'!$A$3:$A$87,0))</f>
        <v>2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5.75" customHeight="1" x14ac:dyDescent="0.35">
      <c r="A4" s="34"/>
      <c r="B4" s="34"/>
      <c r="C4" s="12" t="s">
        <v>32</v>
      </c>
      <c r="D4" s="16" t="str">
        <f t="array" ref="D4">INDEX('Product Backlog'!$C$3:$C$87,MATCH($C4,'Product Backlog'!$A$3:$A$87,0))</f>
        <v>Cerrar sesión</v>
      </c>
      <c r="E4" s="15">
        <f t="array" ref="E4">INDEX('Product Backlog'!$F$3:$F$87,MATCH($C4,'Product Backlog'!$A$3:$A$87,0))</f>
        <v>1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5.75" customHeight="1" x14ac:dyDescent="0.35">
      <c r="A5" s="34"/>
      <c r="B5" s="34"/>
      <c r="C5" s="12" t="s">
        <v>41</v>
      </c>
      <c r="D5" s="16" t="str">
        <f t="array" ref="D5">INDEX('Product Backlog'!$C$3:$C$87,MATCH($C5,'Product Backlog'!$A$3:$A$87,0))</f>
        <v>Crear usuario</v>
      </c>
      <c r="E5" s="15">
        <f t="array" ref="E5">INDEX('Product Backlog'!$F$3:$F$87,MATCH($C5,'Product Backlog'!$A$3:$A$87,0))</f>
        <v>2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5.75" customHeight="1" x14ac:dyDescent="0.35">
      <c r="A6" s="34"/>
      <c r="B6" s="34"/>
      <c r="C6" s="12" t="s">
        <v>49</v>
      </c>
      <c r="D6" s="16" t="str">
        <f t="array" ref="D6">INDEX('Product Backlog'!$C$3:$C$87,MATCH($C6,'Product Backlog'!$A$3:$A$87,0))</f>
        <v>Editar usuario</v>
      </c>
      <c r="E6" s="15">
        <f t="array" ref="E6">INDEX('Product Backlog'!$F$3:$F$87,MATCH($C6,'Product Backlog'!$A$3:$A$87,0))</f>
        <v>1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5.75" customHeight="1" x14ac:dyDescent="0.35">
      <c r="A7" s="34"/>
      <c r="B7" s="34"/>
      <c r="C7" s="12" t="s">
        <v>56</v>
      </c>
      <c r="D7" s="16" t="str">
        <f t="array" ref="D7">INDEX('Product Backlog'!$C$3:$C$87,MATCH($C7,'Product Backlog'!$A$3:$A$87,0))</f>
        <v>Eliminar usuario</v>
      </c>
      <c r="E7" s="15">
        <f t="array" ref="E7">INDEX('Product Backlog'!$F$3:$F$87,MATCH($C7,'Product Backlog'!$A$3:$A$87,0))</f>
        <v>1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5.75" customHeight="1" x14ac:dyDescent="0.35">
      <c r="A8" s="34"/>
      <c r="B8" s="34"/>
      <c r="C8" s="12" t="s">
        <v>64</v>
      </c>
      <c r="D8" s="16" t="str">
        <f t="array" ref="D8">INDEX('Product Backlog'!$C$3:$C$87,MATCH($C8,'Product Backlog'!$A$3:$A$87,0))</f>
        <v>Consultar y buscar usuarios</v>
      </c>
      <c r="E8" s="15">
        <f t="array" ref="E8">INDEX('Product Backlog'!$F$3:$F$87,MATCH($C8,'Product Backlog'!$A$3:$A$87,0))</f>
        <v>2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5.75" customHeight="1" x14ac:dyDescent="0.35">
      <c r="A9" s="34"/>
      <c r="B9" s="34"/>
      <c r="C9" s="12" t="s">
        <v>72</v>
      </c>
      <c r="D9" s="16" t="str">
        <f t="array" ref="D9">INDEX('Product Backlog'!$C$3:$C$87,MATCH($C9,'Product Backlog'!$A$3:$A$87,0))</f>
        <v>Crear rol</v>
      </c>
      <c r="E9" s="15">
        <f t="array" ref="E9">INDEX('Product Backlog'!$F$3:$F$87,MATCH($C9,'Product Backlog'!$A$3:$A$87,0))</f>
        <v>1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15.75" customHeight="1" x14ac:dyDescent="0.35">
      <c r="A10" s="34"/>
      <c r="B10" s="34"/>
      <c r="C10" s="12" t="s">
        <v>79</v>
      </c>
      <c r="D10" s="16" t="str">
        <f t="array" ref="D10">INDEX('Product Backlog'!$C$3:$C$87,MATCH($C10,'Product Backlog'!$A$3:$A$87,0))</f>
        <v>Editar rol</v>
      </c>
      <c r="E10" s="15">
        <f t="array" ref="E10">INDEX('Product Backlog'!$F$3:$F$87,MATCH($C10,'Product Backlog'!$A$3:$A$87,0))</f>
        <v>1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15.75" customHeight="1" x14ac:dyDescent="0.35">
      <c r="A11" s="34"/>
      <c r="B11" s="34"/>
      <c r="C11" s="12" t="s">
        <v>86</v>
      </c>
      <c r="D11" s="16" t="str">
        <f t="array" ref="D11">INDEX('Product Backlog'!$C$3:$C$87,MATCH($C11,'Product Backlog'!$A$3:$A$87,0))</f>
        <v>Eliminar rol</v>
      </c>
      <c r="E11" s="15">
        <f t="array" ref="E11">INDEX('Product Backlog'!$F$3:$F$87,MATCH($C11,'Product Backlog'!$A$3:$A$87,0))</f>
        <v>1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15.75" customHeight="1" x14ac:dyDescent="0.35">
      <c r="A12" s="34"/>
      <c r="B12" s="34"/>
      <c r="C12" s="12" t="s">
        <v>92</v>
      </c>
      <c r="D12" s="16" t="str">
        <f t="array" ref="D12">INDEX('Product Backlog'!$C$3:$C$87,MATCH($C12,'Product Backlog'!$A$3:$A$87,0))</f>
        <v>Consultar roles</v>
      </c>
      <c r="E12" s="15">
        <f t="array" ref="E12">INDEX('Product Backlog'!$F$3:$F$87,MATCH($C12,'Product Backlog'!$A$3:$A$87,0))</f>
        <v>1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15.75" customHeight="1" x14ac:dyDescent="0.35">
      <c r="A13" s="34"/>
      <c r="B13" s="34"/>
      <c r="C13" s="12" t="s">
        <v>99</v>
      </c>
      <c r="D13" s="16" t="str">
        <f t="array" ref="D13">INDEX('Product Backlog'!$C$3:$C$87,MATCH($C13,'Product Backlog'!$A$3:$A$87,0))</f>
        <v>Asignar permisos a un rol</v>
      </c>
      <c r="E13" s="15">
        <f t="array" ref="E13">INDEX('Product Backlog'!$F$3:$F$87,MATCH($C13,'Product Backlog'!$A$3:$A$87,0))</f>
        <v>3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15.75" customHeight="1" x14ac:dyDescent="0.35">
      <c r="A14" s="34"/>
      <c r="B14" s="34"/>
      <c r="C14" s="12" t="s">
        <v>107</v>
      </c>
      <c r="D14" s="16" t="str">
        <f t="array" ref="D14">INDEX('Product Backlog'!$C$3:$C$87,MATCH($C14,'Product Backlog'!$A$3:$A$87,0))</f>
        <v>Asignar roles a un usuario</v>
      </c>
      <c r="E14" s="15">
        <f t="array" ref="E14">INDEX('Product Backlog'!$F$3:$F$87,MATCH($C14,'Product Backlog'!$A$3:$A$87,0))</f>
        <v>1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15.75" customHeight="1" x14ac:dyDescent="0.35">
      <c r="A15" s="34"/>
      <c r="B15" s="34"/>
      <c r="C15" s="12" t="s">
        <v>114</v>
      </c>
      <c r="D15" s="16" t="str">
        <f t="array" ref="D15">INDEX('Product Backlog'!$C$3:$C$87,MATCH($C15,'Product Backlog'!$A$3:$A$87,0))</f>
        <v>Restringir el acceso a funcionalidades por rol</v>
      </c>
      <c r="E15" s="15">
        <f t="array" ref="E15">INDEX('Product Backlog'!$F$3:$F$87,MATCH($C15,'Product Backlog'!$A$3:$A$87,0))</f>
        <v>3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15.75" customHeight="1" x14ac:dyDescent="0.35">
      <c r="A16" s="34"/>
      <c r="B16" s="34"/>
      <c r="C16" s="12" t="s">
        <v>123</v>
      </c>
      <c r="D16" s="16" t="str">
        <f t="array" ref="D16">INDEX('Product Backlog'!$C$3:$C$87,MATCH($C16,'Product Backlog'!$A$3:$A$87,0))</f>
        <v>Restringir el acceso a documentos por rol</v>
      </c>
      <c r="E16" s="15">
        <f t="array" ref="E16">INDEX('Product Backlog'!$F$3:$F$87,MATCH($C16,'Product Backlog'!$A$3:$A$87,0))</f>
        <v>3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15.75" customHeight="1" x14ac:dyDescent="0.35">
      <c r="A17" s="34"/>
      <c r="B17" s="34"/>
      <c r="C17" s="12" t="s">
        <v>141</v>
      </c>
      <c r="D17" s="16" t="str">
        <f t="array" ref="D17">INDEX('Product Backlog'!$C$3:$C$87,MATCH($C17,'Product Backlog'!$A$3:$A$87,0))</f>
        <v>Administrar catálogo de áreas</v>
      </c>
      <c r="E17" s="15">
        <f t="array" ref="E17">INDEX('Product Backlog'!$F$3:$F$87,MATCH($C17,'Product Backlog'!$A$3:$A$87,0))</f>
        <v>1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15.75" customHeight="1" x14ac:dyDescent="0.35">
      <c r="A18" s="34"/>
      <c r="B18" s="34"/>
      <c r="C18" s="12" t="s">
        <v>146</v>
      </c>
      <c r="D18" s="16" t="str">
        <f t="array" ref="D18">INDEX('Product Backlog'!$C$3:$C$87,MATCH($C18,'Product Backlog'!$A$3:$A$87,0))</f>
        <v>Registrar radicado con consecutivo único</v>
      </c>
      <c r="E18" s="15">
        <f t="array" ref="E18">INDEX('Product Backlog'!$F$3:$F$87,MATCH($C18,'Product Backlog'!$A$3:$A$87,0))</f>
        <v>3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15.75" customHeight="1" x14ac:dyDescent="0.35">
      <c r="A19" s="34"/>
      <c r="B19" s="34"/>
      <c r="C19" s="12" t="s">
        <v>157</v>
      </c>
      <c r="D19" s="16" t="str">
        <f t="array" ref="D19">INDEX('Product Backlog'!$C$3:$C$87,MATCH($C19,'Product Backlog'!$A$3:$A$87,0))</f>
        <v>Clasificar el radicado por origen</v>
      </c>
      <c r="E19" s="15">
        <f t="array" ref="E19">INDEX('Product Backlog'!$F$3:$F$87,MATCH($C19,'Product Backlog'!$A$3:$A$87,0))</f>
        <v>1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15.75" customHeight="1" x14ac:dyDescent="0.35">
      <c r="A20" s="34"/>
      <c r="B20" s="34"/>
      <c r="C20" s="12" t="s">
        <v>162</v>
      </c>
      <c r="D20" s="16" t="str">
        <f t="array" ref="D20">INDEX('Product Backlog'!$C$3:$C$87,MATCH($C20,'Product Backlog'!$A$3:$A$87,0))</f>
        <v>Capturar metadatos obligatorios</v>
      </c>
      <c r="E20" s="15">
        <f t="array" ref="E20">INDEX('Product Backlog'!$F$3:$F$87,MATCH($C20,'Product Backlog'!$A$3:$A$87,0))</f>
        <v>2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15.75" customHeight="1" x14ac:dyDescent="0.35">
      <c r="A21" s="34"/>
      <c r="B21" s="34"/>
      <c r="C21" s="12" t="s">
        <v>169</v>
      </c>
      <c r="D21" s="16" t="str">
        <f t="array" ref="D21">INDEX('Product Backlog'!$C$3:$C$87,MATCH($C21,'Product Backlog'!$A$3:$A$87,0))</f>
        <v>Consultar el detalle de un radicado</v>
      </c>
      <c r="E21" s="15">
        <f t="array" ref="E21">INDEX('Product Backlog'!$F$3:$F$87,MATCH($C21,'Product Backlog'!$A$3:$A$87,0))</f>
        <v>1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15.75" customHeight="1" x14ac:dyDescent="0.35">
      <c r="A22" s="34"/>
      <c r="B22" s="34"/>
      <c r="C22" s="12" t="s">
        <v>214</v>
      </c>
      <c r="D22" s="16" t="str">
        <f t="array" ref="D22">INDEX('Product Backlog'!$C$3:$C$87,MATCH($C22,'Product Backlog'!$A$3:$A$87,0))</f>
        <v>Validar el formato de los archivos</v>
      </c>
      <c r="E22" s="15">
        <f t="array" ref="E22">INDEX('Product Backlog'!$F$3:$F$87,MATCH($C22,'Product Backlog'!$A$3:$A$87,0))</f>
        <v>1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15.75" customHeight="1" x14ac:dyDescent="0.35">
      <c r="A23" s="34"/>
      <c r="B23" s="34"/>
      <c r="C23" s="12" t="s">
        <v>206</v>
      </c>
      <c r="D23" s="16" t="str">
        <f t="array" ref="D23">INDEX('Product Backlog'!$C$3:$C$87,MATCH($C23,'Product Backlog'!$A$3:$A$87,0))</f>
        <v>Adjuntar un archivo a un radicado</v>
      </c>
      <c r="E23" s="15">
        <f t="array" ref="E23">INDEX('Product Backlog'!$F$3:$F$87,MATCH($C23,'Product Backlog'!$A$3:$A$87,0))</f>
        <v>2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15.75" customHeight="1" x14ac:dyDescent="0.35">
      <c r="A24" s="34"/>
      <c r="B24" s="34"/>
      <c r="C24" s="12" t="s">
        <v>342</v>
      </c>
      <c r="D24" s="16" t="str">
        <f t="array" ref="D24">INDEX('Product Backlog'!$C$3:$C$87,MATCH($C24,'Product Backlog'!$A$3:$A$87,0))</f>
        <v>Garantizar la inalterabilidad de la bitácora</v>
      </c>
      <c r="E24" s="15">
        <f t="array" ref="E24">INDEX('Product Backlog'!$F$3:$F$87,MATCH($C24,'Product Backlog'!$A$3:$A$87,0))</f>
        <v>2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15.75" customHeight="1" x14ac:dyDescent="0.35">
      <c r="A25" s="34"/>
      <c r="B25" s="34"/>
      <c r="C25" s="12" t="s">
        <v>349</v>
      </c>
      <c r="D25" s="16" t="str">
        <f t="array" ref="D25">INDEX('Product Backlog'!$C$3:$C$87,MATCH($C25,'Product Backlog'!$A$3:$A$87,0))</f>
        <v>Registrar cambios de estado y observaciones</v>
      </c>
      <c r="E25" s="15">
        <f t="array" ref="E25">INDEX('Product Backlog'!$F$3:$F$87,MATCH($C25,'Product Backlog'!$A$3:$A$87,0))</f>
        <v>1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15.75" customHeight="1" x14ac:dyDescent="0.35">
      <c r="A26" s="35"/>
      <c r="B26" s="35"/>
      <c r="C26" s="12" t="s">
        <v>199</v>
      </c>
      <c r="D26" s="16" t="str">
        <f t="array" ref="D26">INDEX('Product Backlog'!$C$3:$C$87,MATCH($C26,'Product Backlog'!$A$3:$A$87,0))</f>
        <v>Restringir la radicación de Recibidos al rol Radicador</v>
      </c>
      <c r="E26" s="15">
        <f t="array" ref="E26">INDEX('Product Backlog'!$F$3:$F$87,MATCH($C26,'Product Backlog'!$A$3:$A$87,0))</f>
        <v>2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15.75" customHeight="1" x14ac:dyDescent="0.35">
      <c r="A27" s="1"/>
      <c r="B27" s="1"/>
      <c r="C27" s="12" t="s">
        <v>756</v>
      </c>
      <c r="D27" s="1"/>
      <c r="E27" s="15">
        <f>SUM(E3:E26)</f>
        <v>39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15.75" customHeight="1" x14ac:dyDescent="0.35">
      <c r="A28" s="3"/>
      <c r="B28" s="19"/>
      <c r="C28" s="12"/>
      <c r="D28" s="16"/>
      <c r="E28" s="15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15.75" customHeight="1" x14ac:dyDescent="0.35">
      <c r="A29" s="36" t="s">
        <v>136</v>
      </c>
      <c r="B29" s="33" t="s">
        <v>757</v>
      </c>
      <c r="C29" s="12" t="s">
        <v>131</v>
      </c>
      <c r="D29" s="16" t="str">
        <f t="array" ref="D29">INDEX('Product Backlog'!$C$3:$C$87,MATCH($C29,'Product Backlog'!$A$3:$A$87,0))</f>
        <v>Administrar catálogo de tipos documentales</v>
      </c>
      <c r="E29" s="15">
        <f t="array" ref="E29">INDEX('Product Backlog'!$F$3:$F$87,MATCH($C29,'Product Backlog'!$A$3:$A$87,0))</f>
        <v>1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15.75" customHeight="1" x14ac:dyDescent="0.35">
      <c r="A30" s="34"/>
      <c r="B30" s="34"/>
      <c r="C30" s="12" t="s">
        <v>178</v>
      </c>
      <c r="D30" s="16" t="str">
        <f t="array" ref="D30">INDEX('Product Backlog'!$C$3:$C$87,MATCH($C30,'Product Backlog'!$A$3:$A$87,0))</f>
        <v>Editar metadatos de un radicado</v>
      </c>
      <c r="E30" s="15">
        <f t="array" ref="E30">INDEX('Product Backlog'!$F$3:$F$87,MATCH($C30,'Product Backlog'!$A$3:$A$87,0))</f>
        <v>1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15.75" customHeight="1" x14ac:dyDescent="0.35">
      <c r="A31" s="34"/>
      <c r="B31" s="34"/>
      <c r="C31" s="12" t="s">
        <v>219</v>
      </c>
      <c r="D31" s="16" t="str">
        <f t="array" ref="D31">INDEX('Product Backlog'!$C$3:$C$87,MATCH($C31,'Product Backlog'!$A$3:$A$87,0))</f>
        <v>Adjuntar múltiples archivos en una sola carga</v>
      </c>
      <c r="E31" s="15">
        <f t="array" ref="E31">INDEX('Product Backlog'!$F$3:$F$87,MATCH($C31,'Product Backlog'!$A$3:$A$87,0))</f>
        <v>1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15.75" customHeight="1" x14ac:dyDescent="0.35">
      <c r="A32" s="34"/>
      <c r="B32" s="34"/>
      <c r="C32" s="12" t="s">
        <v>231</v>
      </c>
      <c r="D32" s="16" t="str">
        <f t="array" ref="D32">INDEX('Product Backlog'!$C$3:$C$87,MATCH($C32,'Product Backlog'!$A$3:$A$87,0))</f>
        <v>Eliminar un anexo</v>
      </c>
      <c r="E32" s="15">
        <f t="array" ref="E32">INDEX('Product Backlog'!$F$3:$F$87,MATCH($C32,'Product Backlog'!$A$3:$A$87,0))</f>
        <v>1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15.75" customHeight="1" x14ac:dyDescent="0.35">
      <c r="A33" s="34"/>
      <c r="B33" s="34"/>
      <c r="C33" s="12" t="s">
        <v>355</v>
      </c>
      <c r="D33" s="16" t="str">
        <f t="array" ref="D33">INDEX('Product Backlog'!$C$3:$C$87,MATCH($C33,'Product Backlog'!$A$3:$A$87,0))</f>
        <v>Consultar el historial de un documento</v>
      </c>
      <c r="E33" s="15">
        <f t="array" ref="E33">INDEX('Product Backlog'!$F$3:$F$87,MATCH($C33,'Product Backlog'!$A$3:$A$87,0))</f>
        <v>2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15.75" customHeight="1" x14ac:dyDescent="0.35">
      <c r="A34" s="34"/>
      <c r="B34" s="34"/>
      <c r="C34" s="12" t="s">
        <v>379</v>
      </c>
      <c r="D34" s="16" t="str">
        <f t="array" ref="D34">INDEX('Product Backlog'!$C$3:$C$87,MATCH($C34,'Product Backlog'!$A$3:$A$87,0))</f>
        <v>Editar un flujo de trabajo</v>
      </c>
      <c r="E34" s="15">
        <f t="array" ref="E34">INDEX('Product Backlog'!$F$3:$F$87,MATCH($C34,'Product Backlog'!$A$3:$A$87,0))</f>
        <v>1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15.75" customHeight="1" x14ac:dyDescent="0.35">
      <c r="A35" s="34"/>
      <c r="B35" s="34"/>
      <c r="C35" s="12" t="s">
        <v>384</v>
      </c>
      <c r="D35" s="16" t="str">
        <f t="array" ref="D35">INDEX('Product Backlog'!$C$3:$C$87,MATCH($C35,'Product Backlog'!$A$3:$A$87,0))</f>
        <v>Desactivar un flujo de trabajo</v>
      </c>
      <c r="E35" s="15">
        <f t="array" ref="E35">INDEX('Product Backlog'!$F$3:$F$87,MATCH($C35,'Product Backlog'!$A$3:$A$87,0))</f>
        <v>1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15.75" customHeight="1" x14ac:dyDescent="0.35">
      <c r="A36" s="34"/>
      <c r="B36" s="34"/>
      <c r="C36" s="12" t="s">
        <v>395</v>
      </c>
      <c r="D36" s="16" t="str">
        <f t="array" ref="D36">INDEX('Product Backlog'!$C$3:$C$87,MATCH($C36,'Product Backlog'!$A$3:$A$87,0))</f>
        <v>Visualizar el flujo en un lienzo gráfico</v>
      </c>
      <c r="E36" s="15">
        <f t="array" ref="E36">INDEX('Product Backlog'!$F$3:$F$87,MATCH($C36,'Product Backlog'!$A$3:$A$87,0))</f>
        <v>5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15.75" customHeight="1" x14ac:dyDescent="0.35">
      <c r="A37" s="34"/>
      <c r="B37" s="34"/>
      <c r="C37" s="12" t="s">
        <v>401</v>
      </c>
      <c r="D37" s="16" t="str">
        <f t="array" ref="D37">INDEX('Product Backlog'!$C$3:$C$87,MATCH($C37,'Product Backlog'!$A$3:$A$87,0))</f>
        <v>Crear un estado</v>
      </c>
      <c r="E37" s="15">
        <f t="array" ref="E37">INDEX('Product Backlog'!$F$3:$F$87,MATCH($C37,'Product Backlog'!$A$3:$A$87,0))</f>
        <v>1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15.75" customHeight="1" x14ac:dyDescent="0.35">
      <c r="A38" s="34"/>
      <c r="B38" s="34"/>
      <c r="C38" s="12" t="s">
        <v>406</v>
      </c>
      <c r="D38" s="16" t="str">
        <f t="array" ref="D38">INDEX('Product Backlog'!$C$3:$C$87,MATCH($C38,'Product Backlog'!$A$3:$A$87,0))</f>
        <v>Editar un estado</v>
      </c>
      <c r="E38" s="15">
        <f t="array" ref="E38">INDEX('Product Backlog'!$F$3:$F$87,MATCH($C38,'Product Backlog'!$A$3:$A$87,0))</f>
        <v>1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15.75" customHeight="1" x14ac:dyDescent="0.35">
      <c r="A39" s="34"/>
      <c r="B39" s="34"/>
      <c r="C39" s="12" t="s">
        <v>411</v>
      </c>
      <c r="D39" s="16" t="str">
        <f t="array" ref="D39">INDEX('Product Backlog'!$C$3:$C$87,MATCH($C39,'Product Backlog'!$A$3:$A$87,0))</f>
        <v>Definir estado inicial y estados finales</v>
      </c>
      <c r="E39" s="15">
        <f t="array" ref="E39">INDEX('Product Backlog'!$F$3:$F$87,MATCH($C39,'Product Backlog'!$A$3:$A$87,0))</f>
        <v>1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15.75" customHeight="1" x14ac:dyDescent="0.35">
      <c r="A40" s="34"/>
      <c r="B40" s="34"/>
      <c r="C40" s="12" t="s">
        <v>423</v>
      </c>
      <c r="D40" s="16" t="str">
        <f t="array" ref="D40">INDEX('Product Backlog'!$C$3:$C$87,MATCH($C40,'Product Backlog'!$A$3:$A$87,0))</f>
        <v>Editar una transición</v>
      </c>
      <c r="E40" s="15">
        <f t="array" ref="E40">INDEX('Product Backlog'!$F$3:$F$87,MATCH($C40,'Product Backlog'!$A$3:$A$87,0))</f>
        <v>1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15.75" customHeight="1" x14ac:dyDescent="0.35">
      <c r="A41" s="34"/>
      <c r="B41" s="34"/>
      <c r="C41" s="12" t="s">
        <v>428</v>
      </c>
      <c r="D41" s="16" t="str">
        <f t="array" ref="D41">INDEX('Product Backlog'!$C$3:$C$87,MATCH($C41,'Product Backlog'!$A$3:$A$87,0))</f>
        <v>Eliminar una transición</v>
      </c>
      <c r="E41" s="15">
        <f t="array" ref="E41">INDEX('Product Backlog'!$F$3:$F$87,MATCH($C41,'Product Backlog'!$A$3:$A$87,0))</f>
        <v>1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15.75" customHeight="1" x14ac:dyDescent="0.35">
      <c r="A42" s="34"/>
      <c r="B42" s="34"/>
      <c r="C42" s="12" t="s">
        <v>444</v>
      </c>
      <c r="D42" s="16" t="str">
        <f t="array" ref="D42">INDEX('Product Backlog'!$C$3:$C$87,MATCH($C42,'Product Backlog'!$A$3:$A$87,0))</f>
        <v>Publicar un flujo</v>
      </c>
      <c r="E42" s="15">
        <f t="array" ref="E42">INDEX('Product Backlog'!$F$3:$F$87,MATCH($C42,'Product Backlog'!$A$3:$A$87,0))</f>
        <v>2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15.75" customHeight="1" x14ac:dyDescent="0.35">
      <c r="A43" s="34"/>
      <c r="B43" s="34"/>
      <c r="C43" s="12" t="s">
        <v>460</v>
      </c>
      <c r="D43" s="16" t="str">
        <f t="array" ref="D43">INDEX('Product Backlog'!$C$3:$C$87,MATCH($C43,'Product Backlog'!$A$3:$A$87,0))</f>
        <v>Ver la bandeja de tareas pendientes</v>
      </c>
      <c r="E43" s="15">
        <f t="array" ref="E43">INDEX('Product Backlog'!$F$3:$F$87,MATCH($C43,'Product Backlog'!$A$3:$A$87,0))</f>
        <v>3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15.75" customHeight="1" x14ac:dyDescent="0.35">
      <c r="A44" s="34"/>
      <c r="B44" s="34"/>
      <c r="C44" s="12" t="s">
        <v>467</v>
      </c>
      <c r="D44" s="16" t="str">
        <f t="array" ref="D44">INDEX('Product Backlog'!$C$3:$C$87,MATCH($C44,'Product Backlog'!$A$3:$A$87,0))</f>
        <v>Filtrar y ordenar la bandeja</v>
      </c>
      <c r="E44" s="15">
        <f t="array" ref="E44">INDEX('Product Backlog'!$F$3:$F$87,MATCH($C44,'Product Backlog'!$A$3:$A$87,0))</f>
        <v>1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15.75" customHeight="1" x14ac:dyDescent="0.35">
      <c r="A45" s="34"/>
      <c r="B45" s="34"/>
      <c r="C45" s="12" t="s">
        <v>472</v>
      </c>
      <c r="D45" s="16" t="str">
        <f t="array" ref="D45">INDEX('Product Backlog'!$C$3:$C$87,MATCH($C45,'Product Backlog'!$A$3:$A$87,0))</f>
        <v>Abrir un documento desde la bandeja</v>
      </c>
      <c r="E45" s="15">
        <f t="array" ref="E45">INDEX('Product Backlog'!$F$3:$F$87,MATCH($C45,'Product Backlog'!$A$3:$A$87,0))</f>
        <v>1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15.75" customHeight="1" x14ac:dyDescent="0.35">
      <c r="A46" s="34"/>
      <c r="B46" s="34"/>
      <c r="C46" s="12" t="s">
        <v>478</v>
      </c>
      <c r="D46" s="16" t="str">
        <f t="array" ref="D46">INDEX('Product Backlog'!$C$3:$C$87,MATCH($C46,'Product Backlog'!$A$3:$A$87,0))</f>
        <v>Aprobar un documento</v>
      </c>
      <c r="E46" s="15">
        <f t="array" ref="E46">INDEX('Product Backlog'!$F$3:$F$87,MATCH($C46,'Product Backlog'!$A$3:$A$87,0))</f>
        <v>2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15.75" customHeight="1" x14ac:dyDescent="0.35">
      <c r="A47" s="34"/>
      <c r="B47" s="34"/>
      <c r="C47" s="12" t="s">
        <v>493</v>
      </c>
      <c r="D47" s="16" t="str">
        <f t="array" ref="D47">INDEX('Product Backlog'!$C$3:$C$87,MATCH($C47,'Product Backlog'!$A$3:$A$87,0))</f>
        <v>Devolver un documento al estado anterior</v>
      </c>
      <c r="E47" s="15">
        <f t="array" ref="E47">INDEX('Product Backlog'!$F$3:$F$87,MATCH($C47,'Product Backlog'!$A$3:$A$87,0))</f>
        <v>1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15.75" customHeight="1" x14ac:dyDescent="0.35">
      <c r="A48" s="34"/>
      <c r="B48" s="34"/>
      <c r="C48" s="12" t="s">
        <v>543</v>
      </c>
      <c r="D48" s="16" t="str">
        <f t="array" ref="D48">INDEX('Product Backlog'!$C$3:$C$87,MATCH($C48,'Product Backlog'!$A$3:$A$87,0))</f>
        <v>Aplicar firma electrónica a un documento</v>
      </c>
      <c r="E48" s="15">
        <f t="array" ref="E48">INDEX('Product Backlog'!$F$3:$F$87,MATCH($C48,'Product Backlog'!$A$3:$A$87,0))</f>
        <v>5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15.75" customHeight="1" x14ac:dyDescent="0.35">
      <c r="A49" s="34"/>
      <c r="B49" s="34"/>
      <c r="C49" s="12" t="s">
        <v>553</v>
      </c>
      <c r="D49" s="16" t="str">
        <f t="array" ref="D49">INDEX('Product Backlog'!$C$3:$C$87,MATCH($C49,'Product Backlog'!$A$3:$A$87,0))</f>
        <v>Configurar los estados que requieren firma</v>
      </c>
      <c r="E49" s="15">
        <f t="array" ref="E49">INDEX('Product Backlog'!$F$3:$F$87,MATCH($C49,'Product Backlog'!$A$3:$A$87,0))</f>
        <v>1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15.75" customHeight="1" x14ac:dyDescent="0.35">
      <c r="A50" s="35"/>
      <c r="B50" s="35"/>
      <c r="C50" s="12" t="s">
        <v>558</v>
      </c>
      <c r="D50" s="16" t="str">
        <f t="array" ref="D50">INDEX('Product Backlog'!$C$3:$C$87,MATCH($C50,'Product Backlog'!$A$3:$A$87,0))</f>
        <v>Visualizar las firmas de un documento</v>
      </c>
      <c r="E50" s="15">
        <f t="array" ref="E50">INDEX('Product Backlog'!$F$3:$F$87,MATCH($C50,'Product Backlog'!$A$3:$A$87,0))</f>
        <v>1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15.75" customHeight="1" x14ac:dyDescent="0.35">
      <c r="A51" s="1"/>
      <c r="B51" s="1"/>
      <c r="C51" s="12" t="s">
        <v>758</v>
      </c>
      <c r="D51" s="20"/>
      <c r="E51" s="15">
        <f>SUM(E29:E50)</f>
        <v>35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15.7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15.75" customHeight="1" x14ac:dyDescent="0.35">
      <c r="A53" s="36" t="s">
        <v>191</v>
      </c>
      <c r="B53" s="33" t="s">
        <v>759</v>
      </c>
      <c r="C53" s="12" t="s">
        <v>187</v>
      </c>
      <c r="D53" s="16" t="str">
        <f t="array" ref="D53">INDEX('Product Backlog'!$C$3:$C$87,MATCH($C53,'Product Backlog'!$A$3:$A$87,0))</f>
        <v>Administrar entidades</v>
      </c>
      <c r="E53" s="15">
        <f t="array" ref="E53">INDEX('Product Backlog'!$F$3:$F$87,MATCH($C53,'Product Backlog'!$A$3:$A$87,0))</f>
        <v>1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5.75" customHeight="1" x14ac:dyDescent="0.35">
      <c r="A54" s="34"/>
      <c r="B54" s="34"/>
      <c r="C54" s="12" t="s">
        <v>193</v>
      </c>
      <c r="D54" s="16" t="str">
        <f t="array" ref="D54">INDEX('Product Backlog'!$C$3:$C$87,MATCH($C54,'Product Backlog'!$A$3:$A$87,0))</f>
        <v>Listar y filtrar radicados</v>
      </c>
      <c r="E54" s="15">
        <f t="array" ref="E54">INDEX('Product Backlog'!$F$3:$F$87,MATCH($C54,'Product Backlog'!$A$3:$A$87,0))</f>
        <v>2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15.75" customHeight="1" x14ac:dyDescent="0.35">
      <c r="A55" s="34"/>
      <c r="B55" s="34"/>
      <c r="C55" s="12" t="s">
        <v>225</v>
      </c>
      <c r="D55" s="16" t="str">
        <f t="array" ref="D55">INDEX('Product Backlog'!$C$3:$C$87,MATCH($C55,'Product Backlog'!$A$3:$A$87,0))</f>
        <v>Visualizar y descargar anexos</v>
      </c>
      <c r="E55" s="15">
        <f t="array" ref="E55">INDEX('Product Backlog'!$F$3:$F$87,MATCH($C55,'Product Backlog'!$A$3:$A$87,0))</f>
        <v>1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15.75" customHeight="1" x14ac:dyDescent="0.35">
      <c r="A56" s="34"/>
      <c r="B56" s="34"/>
      <c r="C56" s="12" t="s">
        <v>333</v>
      </c>
      <c r="D56" s="16" t="str">
        <f t="array" ref="D56">INDEX('Product Backlog'!$C$3:$C$87,MATCH($C56,'Product Backlog'!$A$3:$A$87,0))</f>
        <v>Registrar eventos en la bitácora</v>
      </c>
      <c r="E56" s="15">
        <f t="array" ref="E56">INDEX('Product Backlog'!$F$3:$F$87,MATCH($C56,'Product Backlog'!$A$3:$A$87,0))</f>
        <v>3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15.75" customHeight="1" x14ac:dyDescent="0.35">
      <c r="A57" s="34"/>
      <c r="B57" s="34"/>
      <c r="C57" s="12" t="s">
        <v>362</v>
      </c>
      <c r="D57" s="16" t="str">
        <f t="array" ref="D57">INDEX('Product Backlog'!$C$3:$C$87,MATCH($C57,'Product Backlog'!$A$3:$A$87,0))</f>
        <v>Filtrar la bitácora por usuario, fecha y acción</v>
      </c>
      <c r="E57" s="15">
        <f t="array" ref="E57">INDEX('Product Backlog'!$F$3:$F$87,MATCH($C57,'Product Backlog'!$A$3:$A$87,0))</f>
        <v>1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15.75" customHeight="1" x14ac:dyDescent="0.35">
      <c r="A58" s="34"/>
      <c r="B58" s="34"/>
      <c r="C58" s="12" t="s">
        <v>371</v>
      </c>
      <c r="D58" s="16" t="str">
        <f t="array" ref="D58">INDEX('Product Backlog'!$C$3:$C$87,MATCH($C58,'Product Backlog'!$A$3:$A$87,0))</f>
        <v>Crear un flujo de trabajo</v>
      </c>
      <c r="E58" s="15">
        <f t="array" ref="E58">INDEX('Product Backlog'!$F$3:$F$87,MATCH($C58,'Product Backlog'!$A$3:$A$87,0))</f>
        <v>1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5.75" customHeight="1" x14ac:dyDescent="0.35">
      <c r="A59" s="34"/>
      <c r="B59" s="34"/>
      <c r="C59" s="12" t="s">
        <v>390</v>
      </c>
      <c r="D59" s="16" t="str">
        <f t="array" ref="D59">INDEX('Product Backlog'!$C$3:$C$87,MATCH($C59,'Product Backlog'!$A$3:$A$87,0))</f>
        <v>Consultar los flujos de trabajo</v>
      </c>
      <c r="E59" s="15">
        <f t="array" ref="E59">INDEX('Product Backlog'!$F$3:$F$87,MATCH($C59,'Product Backlog'!$A$3:$A$87,0))</f>
        <v>1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15.75" customHeight="1" x14ac:dyDescent="0.35">
      <c r="A60" s="34"/>
      <c r="B60" s="34"/>
      <c r="C60" s="12" t="s">
        <v>417</v>
      </c>
      <c r="D60" s="16" t="str">
        <f t="array" ref="D60">INDEX('Product Backlog'!$C$3:$C$87,MATCH($C60,'Product Backlog'!$A$3:$A$87,0))</f>
        <v>Crear una transición</v>
      </c>
      <c r="E60" s="15">
        <f t="array" ref="E60">INDEX('Product Backlog'!$F$3:$F$87,MATCH($C60,'Product Backlog'!$A$3:$A$87,0))</f>
        <v>3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15.75" customHeight="1" x14ac:dyDescent="0.35">
      <c r="A61" s="34"/>
      <c r="B61" s="34"/>
      <c r="C61" s="12" t="s">
        <v>432</v>
      </c>
      <c r="D61" s="16" t="str">
        <f t="array" ref="D61">INDEX('Product Backlog'!$C$3:$C$87,MATCH($C61,'Product Backlog'!$A$3:$A$87,0))</f>
        <v>Asignar roles o áreas a un estado</v>
      </c>
      <c r="E61" s="15">
        <f t="array" ref="E61">INDEX('Product Backlog'!$F$3:$F$87,MATCH($C61,'Product Backlog'!$A$3:$A$87,0))</f>
        <v>2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15.75" customHeight="1" x14ac:dyDescent="0.35">
      <c r="A62" s="34"/>
      <c r="B62" s="34"/>
      <c r="C62" s="12" t="s">
        <v>439</v>
      </c>
      <c r="D62" s="16" t="str">
        <f t="array" ref="D62">INDEX('Product Backlog'!$C$3:$C$87,MATCH($C62,'Product Backlog'!$A$3:$A$87,0))</f>
        <v>Quitar roles o áreas de un estado</v>
      </c>
      <c r="E62" s="15">
        <f t="array" ref="E62">INDEX('Product Backlog'!$F$3:$F$87,MATCH($C62,'Product Backlog'!$A$3:$A$87,0))</f>
        <v>1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15.75" customHeight="1" x14ac:dyDescent="0.35">
      <c r="A63" s="34"/>
      <c r="B63" s="34"/>
      <c r="C63" s="12" t="s">
        <v>451</v>
      </c>
      <c r="D63" s="16" t="str">
        <f t="array" ref="D63">INDEX('Product Backlog'!$C$3:$C$87,MATCH($C63,'Product Backlog'!$A$3:$A$87,0))</f>
        <v>Iniciar el trámite de un radicado en un flujo</v>
      </c>
      <c r="E63" s="15">
        <f t="array" ref="E63">INDEX('Product Backlog'!$F$3:$F$87,MATCH($C63,'Product Backlog'!$A$3:$A$87,0))</f>
        <v>2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15.75" customHeight="1" x14ac:dyDescent="0.35">
      <c r="A64" s="34"/>
      <c r="B64" s="34"/>
      <c r="C64" s="12" t="s">
        <v>486</v>
      </c>
      <c r="D64" s="16" t="str">
        <f t="array" ref="D64">INDEX('Product Backlog'!$C$3:$C$87,MATCH($C64,'Product Backlog'!$A$3:$A$87,0))</f>
        <v>Cancelar un documento</v>
      </c>
      <c r="E64" s="15">
        <f t="array" ref="E64">INDEX('Product Backlog'!$F$3:$F$87,MATCH($C64,'Product Backlog'!$A$3:$A$87,0))</f>
        <v>1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15.75" customHeight="1" x14ac:dyDescent="0.35">
      <c r="A65" s="34"/>
      <c r="B65" s="34"/>
      <c r="C65" s="12" t="s">
        <v>238</v>
      </c>
      <c r="D65" s="16" t="str">
        <f t="array" ref="D65">INDEX('Product Backlog'!$C$3:$C$87,MATCH($C65,'Product Backlog'!$A$3:$A$87,0))</f>
        <v>Crear estructura de carpetas por Área</v>
      </c>
      <c r="E65" s="15">
        <f t="array" ref="E65">INDEX('Product Backlog'!$F$3:$F$87,MATCH($C65,'Product Backlog'!$A$3:$A$87,0))</f>
        <v>2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15.75" customHeight="1" x14ac:dyDescent="0.35">
      <c r="A66" s="34"/>
      <c r="B66" s="34"/>
      <c r="C66" s="12" t="s">
        <v>247</v>
      </c>
      <c r="D66" s="16" t="str">
        <f t="array" ref="D66">INDEX('Product Backlog'!$C$3:$C$87,MATCH($C66,'Product Backlog'!$A$3:$A$87,0))</f>
        <v>Crear subcarpetas por Tipo de Expediente</v>
      </c>
      <c r="E66" s="15">
        <f t="array" ref="E66">INDEX('Product Backlog'!$F$3:$F$87,MATCH($C66,'Product Backlog'!$A$3:$A$87,0))</f>
        <v>2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15.75" customHeight="1" x14ac:dyDescent="0.35">
      <c r="A67" s="34"/>
      <c r="B67" s="34"/>
      <c r="C67" s="12" t="s">
        <v>252</v>
      </c>
      <c r="D67" s="16" t="str">
        <f t="array" ref="D67">INDEX('Product Backlog'!$C$3:$C$87,MATCH($C67,'Product Backlog'!$A$3:$A$87,0))</f>
        <v>Consultar Expediente Central</v>
      </c>
      <c r="E67" s="15">
        <f t="array" ref="E67">INDEX('Product Backlog'!$F$3:$F$87,MATCH($C67,'Product Backlog'!$A$3:$A$87,0))</f>
        <v>3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15.75" customHeight="1" x14ac:dyDescent="0.35">
      <c r="A68" s="34"/>
      <c r="B68" s="34"/>
      <c r="C68" s="12" t="s">
        <v>259</v>
      </c>
      <c r="D68" s="16" t="str">
        <f t="array" ref="D68">INDEX('Product Backlog'!$C$3:$C$87,MATCH($C68,'Product Backlog'!$A$3:$A$87,0))</f>
        <v>Restringir acceso al Expediente por Rol (RBAC)</v>
      </c>
      <c r="E68" s="15">
        <f t="array" ref="E68">INDEX('Product Backlog'!$F$3:$F$87,MATCH($C68,'Product Backlog'!$A$3:$A$87,0))</f>
        <v>2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15.75" customHeight="1" x14ac:dyDescent="0.35">
      <c r="A69" s="34"/>
      <c r="B69" s="34"/>
      <c r="C69" s="12" t="s">
        <v>266</v>
      </c>
      <c r="D69" s="16" t="str">
        <f t="array" ref="D69">INDEX('Product Backlog'!$C$3:$C$87,MATCH($C69,'Product Backlog'!$A$3:$A$87,0))</f>
        <v>Cargar documento directo al Expediente (No radicable)</v>
      </c>
      <c r="E69" s="15">
        <f t="array" ref="E69">INDEX('Product Backlog'!$F$3:$F$87,MATCH($C69,'Product Backlog'!$A$3:$A$87,0))</f>
        <v>2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15.75" customHeight="1" x14ac:dyDescent="0.35">
      <c r="A70" s="34"/>
      <c r="B70" s="34"/>
      <c r="C70" s="12" t="s">
        <v>274</v>
      </c>
      <c r="D70" s="16" t="str">
        <f t="array" ref="D70">INDEX('Product Backlog'!$C$3:$C$87,MATCH($C70,'Product Backlog'!$A$3:$A$87,0))</f>
        <v>Cargar plantilla con variables</v>
      </c>
      <c r="E70" s="15">
        <f t="array" ref="E70">INDEX('Product Backlog'!$F$3:$F$87,MATCH($C70,'Product Backlog'!$A$3:$A$87,0))</f>
        <v>3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15.75" customHeight="1" x14ac:dyDescent="0.35">
      <c r="A71" s="34"/>
      <c r="B71" s="34"/>
      <c r="C71" s="12" t="s">
        <v>283</v>
      </c>
      <c r="D71" s="16" t="str">
        <f t="array" ref="D71">INDEX('Product Backlog'!$C$3:$C$87,MATCH($C71,'Product Backlog'!$A$3:$A$87,0))</f>
        <v>Asociar plantilla a tipo de origen</v>
      </c>
      <c r="E71" s="15">
        <f t="array" ref="E71">INDEX('Product Backlog'!$F$3:$F$87,MATCH($C71,'Product Backlog'!$A$3:$A$87,0))</f>
        <v>1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15.75" customHeight="1" x14ac:dyDescent="0.35">
      <c r="A72" s="34"/>
      <c r="B72" s="34"/>
      <c r="C72" s="12" t="s">
        <v>290</v>
      </c>
      <c r="D72" s="16" t="str">
        <f t="array" ref="D72">INDEX('Product Backlog'!$C$3:$C$87,MATCH($C72,'Product Backlog'!$A$3:$A$87,0))</f>
        <v>Renderizar datos en plantilla</v>
      </c>
      <c r="E72" s="15">
        <f t="array" ref="E72">INDEX('Product Backlog'!$F$3:$F$87,MATCH($C72,'Product Backlog'!$A$3:$A$87,0))</f>
        <v>3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15.75" customHeight="1" x14ac:dyDescent="0.35">
      <c r="A73" s="34"/>
      <c r="B73" s="34"/>
      <c r="C73" s="12" t="s">
        <v>298</v>
      </c>
      <c r="D73" s="16" t="str">
        <f t="array" ref="D73">INDEX('Product Backlog'!$C$3:$C$87,MATCH($C73,'Product Backlog'!$A$3:$A$87,0))</f>
        <v>Generar y exportar PDF desde plantilla</v>
      </c>
      <c r="E73" s="15">
        <f t="array" ref="E73">INDEX('Product Backlog'!$F$3:$F$87,MATCH($C73,'Product Backlog'!$A$3:$A$87,0))</f>
        <v>2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15.75" customHeight="1" x14ac:dyDescent="0.35">
      <c r="A74" s="34"/>
      <c r="B74" s="34"/>
      <c r="C74" s="12" t="s">
        <v>304</v>
      </c>
      <c r="D74" s="16" t="str">
        <f t="array" ref="D74">INDEX('Product Backlog'!$C$3:$C$87,MATCH($C74,'Product Backlog'!$A$3:$A$87,0))</f>
        <v>Capturar metadatos extendidos</v>
      </c>
      <c r="E74" s="15">
        <f t="array" ref="E74">INDEX('Product Backlog'!$F$3:$F$87,MATCH($C74,'Product Backlog'!$A$3:$A$87,0))</f>
        <v>2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15.75" customHeight="1" x14ac:dyDescent="0.35">
      <c r="A75" s="34"/>
      <c r="B75" s="34"/>
      <c r="C75" s="12" t="s">
        <v>312</v>
      </c>
      <c r="D75" s="16" t="str">
        <f t="array" ref="D75">INDEX('Product Backlog'!$C$3:$C$87,MATCH($C75,'Product Backlog'!$A$3:$A$87,0))</f>
        <v>Clasificar documento por Clase (Original/Copia)</v>
      </c>
      <c r="E75" s="15">
        <f t="array" ref="E75">INDEX('Product Backlog'!$F$3:$F$87,MATCH($C75,'Product Backlog'!$A$3:$A$87,0))</f>
        <v>1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15.75" customHeight="1" x14ac:dyDescent="0.35">
      <c r="A76" s="34"/>
      <c r="B76" s="34"/>
      <c r="C76" s="12" t="s">
        <v>319</v>
      </c>
      <c r="D76" s="16" t="str">
        <f t="array" ref="D76">INDEX('Product Backlog'!$C$3:$C$87,MATCH($C76,'Product Backlog'!$A$3:$A$87,0))</f>
        <v>Enviar copias informativas a múltiples usuarios</v>
      </c>
      <c r="E76" s="15">
        <f t="array" ref="E76">INDEX('Product Backlog'!$F$3:$F$87,MATCH($C76,'Product Backlog'!$A$3:$A$87,0))</f>
        <v>2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15.75" customHeight="1" x14ac:dyDescent="0.35">
      <c r="A77" s="35"/>
      <c r="B77" s="35"/>
      <c r="C77" s="12" t="s">
        <v>326</v>
      </c>
      <c r="D77" s="16" t="str">
        <f t="array" ref="D77">INDEX('Product Backlog'!$C$3:$C$87,MATCH($C77,'Product Backlog'!$A$3:$A$87,0))</f>
        <v>Visualizar copias en bandeja secundaria</v>
      </c>
      <c r="E77" s="15">
        <f t="array" ref="E77">INDEX('Product Backlog'!$F$3:$F$87,MATCH($C77,'Product Backlog'!$A$3:$A$87,0))</f>
        <v>2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15.75" customHeight="1" x14ac:dyDescent="0.35">
      <c r="A78" s="1"/>
      <c r="B78" s="1"/>
      <c r="C78" s="12" t="s">
        <v>760</v>
      </c>
      <c r="D78" s="16"/>
      <c r="E78" s="15">
        <f>SUM(E53:E77)</f>
        <v>46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15.75" customHeight="1" x14ac:dyDescent="0.35">
      <c r="A79" s="1"/>
      <c r="B79" s="1"/>
      <c r="C79" s="12"/>
      <c r="D79" s="16"/>
      <c r="E79" s="15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15.75" customHeight="1" x14ac:dyDescent="0.35">
      <c r="A80" s="36" t="s">
        <v>504</v>
      </c>
      <c r="B80" s="33" t="s">
        <v>761</v>
      </c>
      <c r="C80" s="12" t="s">
        <v>564</v>
      </c>
      <c r="D80" s="16" t="str">
        <f t="array" ref="D80">INDEX('Product Backlog'!$C$3:$C$87,MATCH($C80,'Product Backlog'!$A$3:$A$87,0))</f>
        <v>Crear una nueva versión de un flujo activo</v>
      </c>
      <c r="E80" s="15">
        <f t="array" ref="E80">INDEX('Product Backlog'!$F$3:$F$87,MATCH($C80,'Product Backlog'!$A$3:$A$87,0))</f>
        <v>3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15.75" customHeight="1" x14ac:dyDescent="0.35">
      <c r="A81" s="34"/>
      <c r="B81" s="34"/>
      <c r="C81" s="12" t="s">
        <v>570</v>
      </c>
      <c r="D81" s="16" t="str">
        <f t="array" ref="D81">INDEX('Product Backlog'!$C$3:$C$87,MATCH($C81,'Product Backlog'!$A$3:$A$87,0))</f>
        <v>Mantener los trámites en curso en su versión original</v>
      </c>
      <c r="E81" s="15">
        <f t="array" ref="E81">INDEX('Product Backlog'!$F$3:$F$87,MATCH($C81,'Product Backlog'!$A$3:$A$87,0))</f>
        <v>3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15.75" customHeight="1" x14ac:dyDescent="0.35">
      <c r="A82" s="34"/>
      <c r="B82" s="34"/>
      <c r="C82" s="12" t="s">
        <v>577</v>
      </c>
      <c r="D82" s="16" t="str">
        <f t="array" ref="D82">INDEX('Product Backlog'!$C$3:$C$87,MATCH($C82,'Product Backlog'!$A$3:$A$87,0))</f>
        <v>Consultar el historial de versiones de un flujo</v>
      </c>
      <c r="E82" s="15">
        <f t="array" ref="E82">INDEX('Product Backlog'!$F$3:$F$87,MATCH($C82,'Product Backlog'!$A$3:$A$87,0))</f>
        <v>1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15.75" customHeight="1" x14ac:dyDescent="0.35">
      <c r="A83" s="34"/>
      <c r="B83" s="34"/>
      <c r="C83" s="12" t="s">
        <v>582</v>
      </c>
      <c r="D83" s="16" t="str">
        <f t="array" ref="D83">INDEX('Product Backlog'!$C$3:$C$87,MATCH($C83,'Product Backlog'!$A$3:$A$87,0))</f>
        <v>Configurar copias de seguridad periódicas</v>
      </c>
      <c r="E83" s="15">
        <f t="array" ref="E83">INDEX('Product Backlog'!$F$3:$F$87,MATCH($C83,'Product Backlog'!$A$3:$A$87,0))</f>
        <v>2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15.75" customHeight="1" x14ac:dyDescent="0.35">
      <c r="A84" s="34"/>
      <c r="B84" s="34"/>
      <c r="C84" s="12" t="s">
        <v>589</v>
      </c>
      <c r="D84" s="16" t="str">
        <f t="array" ref="D84">INDEX('Product Backlog'!$C$3:$C$87,MATCH($C84,'Product Backlog'!$A$3:$A$87,0))</f>
        <v>Restaurar información desde una copia de seguridad</v>
      </c>
      <c r="E84" s="15">
        <f t="array" ref="E84">INDEX('Product Backlog'!$F$3:$F$87,MATCH($C84,'Product Backlog'!$A$3:$A$87,0))</f>
        <v>1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15.75" customHeight="1" x14ac:dyDescent="0.35">
      <c r="A85" s="34"/>
      <c r="B85" s="34"/>
      <c r="C85" s="12" t="s">
        <v>595</v>
      </c>
      <c r="D85" s="16" t="str">
        <f t="array" ref="D85">INDEX('Product Backlog'!$C$3:$C$87,MATCH($C85,'Product Backlog'!$A$3:$A$87,0))</f>
        <v>Adaptar consulta y aprobación a dispositivos móviles</v>
      </c>
      <c r="E85" s="15">
        <f t="array" ref="E85">INDEX('Product Backlog'!$F$3:$F$87,MATCH($C85,'Product Backlog'!$A$3:$A$87,0))</f>
        <v>3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15.75" customHeight="1" x14ac:dyDescent="0.35">
      <c r="A86" s="34"/>
      <c r="B86" s="34"/>
      <c r="C86" s="12" t="s">
        <v>602</v>
      </c>
      <c r="D86" s="16" t="str">
        <f t="array" ref="D86">INDEX('Product Backlog'!$C$3:$C$87,MATCH($C86,'Product Backlog'!$A$3:$A$87,0))</f>
        <v>Verificar los tiempos de respuesta</v>
      </c>
      <c r="E86" s="15">
        <f t="array" ref="E86">INDEX('Product Backlog'!$F$3:$F$87,MATCH($C86,'Product Backlog'!$A$3:$A$87,0))</f>
        <v>2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15.75" customHeight="1" x14ac:dyDescent="0.35">
      <c r="A87" s="34"/>
      <c r="B87" s="34"/>
      <c r="C87" s="12" t="s">
        <v>611</v>
      </c>
      <c r="D87" s="16" t="str">
        <f t="array" ref="D87">INDEX('Product Backlog'!$C$3:$C$87,MATCH($C87,'Product Backlog'!$A$3:$A$87,0))</f>
        <v>Verificar la concurrencia de usuarios</v>
      </c>
      <c r="E87" s="15">
        <f t="array" ref="E87">INDEX('Product Backlog'!$F$3:$F$87,MATCH($C87,'Product Backlog'!$A$3:$A$87,0))</f>
        <v>2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15.75" customHeight="1" x14ac:dyDescent="0.35">
      <c r="A88" s="34"/>
      <c r="B88" s="34"/>
      <c r="C88" s="12" t="s">
        <v>499</v>
      </c>
      <c r="D88" s="16" t="str">
        <f t="array" ref="D88">INDEX('Product Backlog'!$C$3:$C$87,MATCH($C88,'Product Backlog'!$A$3:$A$87,0))</f>
        <v>Asignar responsable a un paso (Usuario/Grupo/Rol)</v>
      </c>
      <c r="E88" s="15">
        <f t="array" ref="E88">INDEX('Product Backlog'!$F$3:$F$87,MATCH($C88,'Product Backlog'!$A$3:$A$87,0))</f>
        <v>2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15.75" customHeight="1" x14ac:dyDescent="0.35">
      <c r="A89" s="34"/>
      <c r="B89" s="34"/>
      <c r="C89" s="12" t="s">
        <v>508</v>
      </c>
      <c r="D89" s="16" t="str">
        <f t="array" ref="D89">INDEX('Product Backlog'!$C$3:$C$87,MATCH($C89,'Product Backlog'!$A$3:$A$87,0))</f>
        <v>Tomar tarea de un grupo/rol (Claim)</v>
      </c>
      <c r="E89" s="15">
        <f t="array" ref="E89">INDEX('Product Backlog'!$F$3:$F$87,MATCH($C89,'Product Backlog'!$A$3:$A$87,0))</f>
        <v>2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5.75" customHeight="1" x14ac:dyDescent="0.35">
      <c r="A90" s="34"/>
      <c r="B90" s="34"/>
      <c r="C90" s="12" t="s">
        <v>517</v>
      </c>
      <c r="D90" s="16" t="str">
        <f t="array" ref="D90">INDEX('Product Backlog'!$C$3:$C$87,MATCH($C90,'Product Backlog'!$A$3:$A$87,0))</f>
        <v>Bloquear tenencia única del Original</v>
      </c>
      <c r="E90" s="15">
        <f t="array" ref="E90">INDEX('Product Backlog'!$F$3:$F$87,MATCH($C90,'Product Backlog'!$A$3:$A$87,0))</f>
        <v>2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5.75" customHeight="1" x14ac:dyDescent="0.35">
      <c r="A91" s="34"/>
      <c r="B91" s="34"/>
      <c r="C91" s="12" t="s">
        <v>524</v>
      </c>
      <c r="D91" s="16" t="str">
        <f t="array" ref="D91">INDEX('Product Backlog'!$C$3:$C$87,MATCH($C91,'Product Backlog'!$A$3:$A$87,0))</f>
        <v>Configurar tiempo límite general del flujo</v>
      </c>
      <c r="E91" s="15">
        <f t="array" ref="E91">INDEX('Product Backlog'!$F$3:$F$87,MATCH($C91,'Product Backlog'!$A$3:$A$87,0))</f>
        <v>1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15.75" customHeight="1" x14ac:dyDescent="0.35">
      <c r="A92" s="34"/>
      <c r="B92" s="34"/>
      <c r="C92" s="12" t="s">
        <v>530</v>
      </c>
      <c r="D92" s="16" t="str">
        <f t="array" ref="D92">INDEX('Product Backlog'!$C$3:$C$87,MATCH($C92,'Product Backlog'!$A$3:$A$87,0))</f>
        <v>Configurar tiempo límite por paso</v>
      </c>
      <c r="E92" s="15">
        <f t="array" ref="E92">INDEX('Product Backlog'!$F$3:$F$87,MATCH($C92,'Product Backlog'!$A$3:$A$87,0))</f>
        <v>1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15.75" customHeight="1" x14ac:dyDescent="0.35">
      <c r="A93" s="35"/>
      <c r="B93" s="35"/>
      <c r="C93" s="12" t="s">
        <v>536</v>
      </c>
      <c r="D93" s="16" t="str">
        <f t="array" ref="D93">INDEX('Product Backlog'!$C$3:$C$87,MATCH($C93,'Product Backlog'!$A$3:$A$87,0))</f>
        <v>Visualizar alertas de vencimiento (SLA)</v>
      </c>
      <c r="E93" s="15">
        <f t="array" ref="E93">INDEX('Product Backlog'!$F$3:$F$87,MATCH($C93,'Product Backlog'!$A$3:$A$87,0))</f>
        <v>2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15.75" customHeight="1" x14ac:dyDescent="0.35">
      <c r="A94" s="1"/>
      <c r="B94" s="1"/>
      <c r="C94" s="12" t="s">
        <v>762</v>
      </c>
      <c r="D94" s="20"/>
      <c r="E94" s="15">
        <f>SUM(E80:E93)</f>
        <v>27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15.7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15.7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5.7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5.7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15.7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5.7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15.7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15.7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15.7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15.7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15.7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15.7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15.7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15.7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15.7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15.7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15.7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15.7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15.7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15.7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5.7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5.7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15.7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15.7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15.7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15.7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15.7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15.7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15.7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15.7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15.7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15.7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15.7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15.7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15.7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15.7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15.7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15.7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15.7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15.7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5.7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15.7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15.7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15.7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15.7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15.7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15.7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15.7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15.7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15.7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15.7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15.7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5.7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15.7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15.7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15.7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15.7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15.7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15.7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5.7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15.7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15.7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5.7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15.7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15.7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5.7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5.7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5.7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15.7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15.7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15.7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15.7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15.7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5.7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15.7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5.7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5.7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15.7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5.7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15.7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15.7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15.7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5.7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5.7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15.7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15.7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15.7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15.7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15.7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15.7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15.7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15.7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15.7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15.7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15.7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5.7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5.7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5.7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15.7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5.7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15.7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ht="15.7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ht="15.7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ht="15.7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ht="15.7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ht="15.7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ht="15.7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ht="15.7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ht="15.7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ht="15.7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ht="15.7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ht="15.7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ht="15.7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ht="15.7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ht="15.7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ht="15.7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15.7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ht="15.7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ht="15.7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ht="15.7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ht="15.7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ht="15.7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ht="15.7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ht="15.7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ht="15.7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ht="15.7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15.7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5.7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5.7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5.7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5.7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5.7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5.7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5.7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5.7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5.7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15.7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15.7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15.7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15.7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15.7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15.7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15.7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15.7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15.7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ht="15.7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ht="15.7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ht="15.7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ht="15.7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ht="15.7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ht="15.7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ht="15.7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ht="15.7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ht="15.7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ht="15.7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ht="15.7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ht="15.7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ht="15.7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ht="15.7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ht="15.7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ht="15.7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ht="15.7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ht="15.7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ht="15.7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ht="15.7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ht="15.7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ht="15.7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ht="15.7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ht="15.7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ht="15.7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ht="15.7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ht="15.7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ht="15.7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ht="15.7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ht="15.7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ht="15.7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ht="15.7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ht="15.7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ht="15.7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ht="15.7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ht="15.7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ht="15.7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ht="15.7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ht="15.7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ht="15.7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ht="15.7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ht="15.7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ht="15.7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ht="15.7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ht="15.7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ht="15.7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ht="15.7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ht="15.7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ht="15.7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ht="15.7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ht="15.7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ht="15.7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ht="15.7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ht="15.7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ht="15.7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ht="15.75" customHeight="1" x14ac:dyDescent="0.35">
      <c r="A295" s="1"/>
      <c r="B295" s="1"/>
      <c r="C295" s="1"/>
      <c r="D295" s="1"/>
      <c r="E295" s="1"/>
      <c r="F295" s="1"/>
    </row>
    <row r="296" spans="1:22" ht="15.75" customHeight="1" x14ac:dyDescent="0.35">
      <c r="A296" s="1"/>
      <c r="B296" s="1"/>
      <c r="C296" s="1"/>
      <c r="D296" s="1"/>
      <c r="E296" s="1"/>
      <c r="F296" s="1"/>
    </row>
    <row r="297" spans="1:22" ht="15.75" customHeight="1" x14ac:dyDescent="0.35">
      <c r="A297" s="1"/>
      <c r="B297" s="1"/>
      <c r="C297" s="1"/>
      <c r="D297" s="1"/>
      <c r="E297" s="1"/>
      <c r="F297" s="1"/>
    </row>
    <row r="298" spans="1:22" ht="15.75" customHeight="1" x14ac:dyDescent="0.35">
      <c r="A298" s="1"/>
      <c r="B298" s="1"/>
      <c r="C298" s="1"/>
      <c r="D298" s="1"/>
      <c r="E298" s="1"/>
      <c r="F298" s="1"/>
    </row>
    <row r="299" spans="1:22" ht="15.75" customHeight="1" x14ac:dyDescent="0.35">
      <c r="A299" s="1"/>
      <c r="B299" s="1"/>
      <c r="C299" s="1"/>
      <c r="D299" s="1"/>
      <c r="E299" s="1"/>
      <c r="F299" s="1"/>
    </row>
    <row r="300" spans="1:22" ht="15.75" customHeight="1" x14ac:dyDescent="0.35">
      <c r="A300" s="1"/>
      <c r="B300" s="1"/>
      <c r="C300" s="1"/>
      <c r="D300" s="1"/>
      <c r="E300" s="1"/>
      <c r="F300" s="1"/>
    </row>
    <row r="301" spans="1:22" ht="15.75" customHeight="1" x14ac:dyDescent="0.35">
      <c r="A301" s="1"/>
      <c r="B301" s="1"/>
      <c r="C301" s="1"/>
      <c r="D301" s="1"/>
      <c r="E301" s="1"/>
      <c r="F301" s="1"/>
    </row>
    <row r="302" spans="1:22" ht="15.75" customHeight="1" x14ac:dyDescent="0.35">
      <c r="A302" s="1"/>
      <c r="B302" s="1"/>
      <c r="C302" s="1"/>
      <c r="D302" s="1"/>
      <c r="E302" s="1"/>
      <c r="F302" s="1"/>
    </row>
    <row r="303" spans="1:22" ht="15.75" customHeight="1" x14ac:dyDescent="0.35">
      <c r="A303" s="1"/>
      <c r="B303" s="1"/>
      <c r="C303" s="1"/>
      <c r="D303" s="1"/>
      <c r="E303" s="1"/>
      <c r="F303" s="1"/>
    </row>
    <row r="304" spans="1:22" ht="15.75" customHeight="1" x14ac:dyDescent="0.35">
      <c r="A304" s="1"/>
      <c r="B304" s="1"/>
      <c r="C304" s="1"/>
      <c r="D304" s="1"/>
      <c r="E304" s="1"/>
      <c r="F304" s="1"/>
    </row>
    <row r="305" spans="1:6" ht="15.75" customHeight="1" x14ac:dyDescent="0.35">
      <c r="A305" s="1"/>
      <c r="B305" s="1"/>
      <c r="C305" s="1"/>
      <c r="D305" s="1"/>
      <c r="E305" s="1"/>
      <c r="F305" s="1"/>
    </row>
    <row r="306" spans="1:6" ht="15.75" customHeight="1" x14ac:dyDescent="0.35">
      <c r="A306" s="1"/>
      <c r="B306" s="1"/>
      <c r="C306" s="1"/>
      <c r="D306" s="1"/>
      <c r="E306" s="1"/>
      <c r="F306" s="1"/>
    </row>
    <row r="307" spans="1:6" ht="15.75" customHeight="1" x14ac:dyDescent="0.35">
      <c r="A307" s="1"/>
      <c r="B307" s="1"/>
      <c r="C307" s="1"/>
      <c r="D307" s="1"/>
      <c r="E307" s="1"/>
      <c r="F307" s="1"/>
    </row>
    <row r="308" spans="1:6" ht="15.75" customHeight="1" x14ac:dyDescent="0.35">
      <c r="A308" s="1"/>
      <c r="B308" s="1"/>
      <c r="C308" s="1"/>
      <c r="D308" s="1"/>
      <c r="E308" s="1"/>
      <c r="F308" s="1"/>
    </row>
    <row r="309" spans="1:6" ht="15.75" customHeight="1" x14ac:dyDescent="0.35">
      <c r="A309" s="1"/>
      <c r="B309" s="1"/>
      <c r="C309" s="1"/>
      <c r="D309" s="1"/>
      <c r="E309" s="1"/>
      <c r="F309" s="1"/>
    </row>
    <row r="310" spans="1:6" ht="15.75" customHeight="1" x14ac:dyDescent="0.35">
      <c r="A310" s="1"/>
      <c r="B310" s="1"/>
      <c r="C310" s="1"/>
      <c r="D310" s="1"/>
      <c r="E310" s="1"/>
      <c r="F310" s="1"/>
    </row>
    <row r="311" spans="1:6" ht="15.75" customHeight="1" x14ac:dyDescent="0.35">
      <c r="A311" s="1"/>
      <c r="B311" s="1"/>
      <c r="C311" s="1"/>
      <c r="D311" s="1"/>
      <c r="E311" s="1"/>
      <c r="F311" s="1"/>
    </row>
    <row r="312" spans="1:6" ht="15.75" customHeight="1" x14ac:dyDescent="0.35">
      <c r="A312" s="1"/>
      <c r="B312" s="1"/>
      <c r="C312" s="1"/>
      <c r="D312" s="1"/>
      <c r="E312" s="1"/>
      <c r="F312" s="1"/>
    </row>
    <row r="313" spans="1:6" ht="15.75" customHeight="1" x14ac:dyDescent="0.35">
      <c r="A313" s="1"/>
      <c r="B313" s="1"/>
      <c r="C313" s="1"/>
      <c r="D313" s="1"/>
      <c r="E313" s="1"/>
      <c r="F313" s="1"/>
    </row>
    <row r="314" spans="1:6" ht="15.75" customHeight="1" x14ac:dyDescent="0.35">
      <c r="A314" s="1"/>
      <c r="B314" s="1"/>
      <c r="C314" s="1"/>
      <c r="D314" s="1"/>
      <c r="E314" s="1"/>
      <c r="F314" s="1"/>
    </row>
    <row r="315" spans="1:6" ht="15.75" customHeight="1" x14ac:dyDescent="0.35">
      <c r="A315" s="1"/>
      <c r="B315" s="1"/>
      <c r="C315" s="1"/>
      <c r="D315" s="1"/>
      <c r="E315" s="1"/>
      <c r="F315" s="1"/>
    </row>
    <row r="316" spans="1:6" ht="15.75" customHeight="1" x14ac:dyDescent="0.35">
      <c r="A316" s="1"/>
      <c r="B316" s="1"/>
      <c r="C316" s="1"/>
      <c r="D316" s="1"/>
      <c r="E316" s="1"/>
      <c r="F316" s="1"/>
    </row>
    <row r="317" spans="1:6" ht="15.75" customHeight="1" x14ac:dyDescent="0.35">
      <c r="A317" s="1"/>
      <c r="B317" s="1"/>
      <c r="C317" s="1"/>
      <c r="D317" s="1"/>
      <c r="E317" s="1"/>
      <c r="F317" s="1"/>
    </row>
    <row r="318" spans="1:6" ht="15.75" customHeight="1" x14ac:dyDescent="0.35">
      <c r="A318" s="1"/>
      <c r="B318" s="1"/>
      <c r="C318" s="1"/>
      <c r="D318" s="1"/>
      <c r="E318" s="1"/>
      <c r="F318" s="1"/>
    </row>
    <row r="319" spans="1:6" ht="15.75" customHeight="1" x14ac:dyDescent="0.35">
      <c r="A319" s="1"/>
      <c r="B319" s="1"/>
      <c r="C319" s="1"/>
      <c r="D319" s="1"/>
      <c r="E319" s="1"/>
      <c r="F319" s="1"/>
    </row>
    <row r="320" spans="1:6" ht="15.75" customHeight="1" x14ac:dyDescent="0.35">
      <c r="A320" s="1"/>
      <c r="B320" s="1"/>
      <c r="C320" s="1"/>
      <c r="D320" s="1"/>
      <c r="E320" s="1"/>
      <c r="F320" s="1"/>
    </row>
    <row r="321" spans="1:6" ht="15.75" customHeight="1" x14ac:dyDescent="0.35">
      <c r="A321" s="1"/>
      <c r="B321" s="1"/>
      <c r="C321" s="1"/>
      <c r="D321" s="1"/>
      <c r="E321" s="1"/>
      <c r="F321" s="1"/>
    </row>
    <row r="322" spans="1:6" ht="15.75" customHeight="1" x14ac:dyDescent="0.35">
      <c r="A322" s="1"/>
      <c r="B322" s="1"/>
      <c r="C322" s="1"/>
      <c r="D322" s="1"/>
      <c r="E322" s="1"/>
      <c r="F322" s="1"/>
    </row>
    <row r="323" spans="1:6" ht="15.75" customHeight="1" x14ac:dyDescent="0.35">
      <c r="A323" s="1"/>
      <c r="B323" s="1"/>
      <c r="C323" s="1"/>
      <c r="D323" s="1"/>
      <c r="E323" s="1"/>
      <c r="F323" s="1"/>
    </row>
    <row r="324" spans="1:6" ht="15.75" customHeight="1" x14ac:dyDescent="0.35">
      <c r="A324" s="1"/>
      <c r="B324" s="1"/>
      <c r="C324" s="1"/>
      <c r="D324" s="1"/>
      <c r="E324" s="1"/>
      <c r="F324" s="1"/>
    </row>
    <row r="325" spans="1:6" ht="15.75" customHeight="1" x14ac:dyDescent="0.35">
      <c r="A325" s="1"/>
      <c r="B325" s="1"/>
      <c r="C325" s="1"/>
      <c r="D325" s="1"/>
      <c r="E325" s="1"/>
      <c r="F325" s="1"/>
    </row>
    <row r="326" spans="1:6" ht="15.75" customHeight="1" x14ac:dyDescent="0.35">
      <c r="A326" s="1"/>
      <c r="B326" s="1"/>
      <c r="C326" s="1"/>
      <c r="D326" s="1"/>
      <c r="E326" s="1"/>
      <c r="F326" s="1"/>
    </row>
    <row r="327" spans="1:6" ht="15.75" customHeight="1" x14ac:dyDescent="0.35">
      <c r="A327" s="1"/>
      <c r="B327" s="1"/>
      <c r="C327" s="1"/>
      <c r="D327" s="1"/>
      <c r="E327" s="1"/>
      <c r="F327" s="1"/>
    </row>
    <row r="328" spans="1:6" ht="15.75" customHeight="1" x14ac:dyDescent="0.35">
      <c r="A328" s="1"/>
      <c r="B328" s="1"/>
      <c r="C328" s="1"/>
      <c r="D328" s="1"/>
      <c r="E328" s="1"/>
      <c r="F328" s="1"/>
    </row>
    <row r="329" spans="1:6" ht="15.75" customHeight="1" x14ac:dyDescent="0.35">
      <c r="A329" s="1"/>
      <c r="B329" s="1"/>
      <c r="C329" s="1"/>
      <c r="D329" s="1"/>
      <c r="E329" s="1"/>
      <c r="F329" s="1"/>
    </row>
    <row r="330" spans="1:6" ht="15.75" customHeight="1" x14ac:dyDescent="0.35">
      <c r="A330" s="1"/>
      <c r="B330" s="1"/>
      <c r="C330" s="1"/>
      <c r="D330" s="1"/>
      <c r="E330" s="1"/>
      <c r="F330" s="1"/>
    </row>
    <row r="331" spans="1:6" ht="15.75" customHeight="1" x14ac:dyDescent="0.35">
      <c r="A331" s="1"/>
      <c r="B331" s="1"/>
      <c r="C331" s="1"/>
      <c r="D331" s="1"/>
      <c r="E331" s="1"/>
      <c r="F331" s="1"/>
    </row>
    <row r="332" spans="1:6" ht="15.75" customHeight="1" x14ac:dyDescent="0.35">
      <c r="A332" s="1"/>
      <c r="B332" s="1"/>
      <c r="C332" s="1"/>
      <c r="D332" s="1"/>
      <c r="E332" s="1"/>
      <c r="F332" s="1"/>
    </row>
    <row r="333" spans="1:6" ht="15.75" customHeight="1" x14ac:dyDescent="0.35">
      <c r="A333" s="1"/>
      <c r="B333" s="1"/>
      <c r="C333" s="1"/>
      <c r="D333" s="1"/>
      <c r="E333" s="1"/>
      <c r="F333" s="1"/>
    </row>
    <row r="334" spans="1:6" ht="15.75" customHeight="1" x14ac:dyDescent="0.35">
      <c r="A334" s="1"/>
      <c r="B334" s="1"/>
      <c r="C334" s="1"/>
      <c r="D334" s="1"/>
      <c r="E334" s="1"/>
      <c r="F334" s="1"/>
    </row>
    <row r="335" spans="1:6" ht="15.75" customHeight="1" x14ac:dyDescent="0.35">
      <c r="A335" s="1"/>
      <c r="B335" s="1"/>
      <c r="C335" s="1"/>
      <c r="D335" s="1"/>
      <c r="E335" s="1"/>
      <c r="F335" s="1"/>
    </row>
    <row r="336" spans="1:6" ht="15.75" customHeight="1" x14ac:dyDescent="0.35">
      <c r="A336" s="1"/>
      <c r="B336" s="1"/>
      <c r="C336" s="1"/>
      <c r="D336" s="1"/>
      <c r="E336" s="1"/>
      <c r="F336" s="1"/>
    </row>
    <row r="337" spans="1:6" ht="15.75" customHeight="1" x14ac:dyDescent="0.35">
      <c r="A337" s="1"/>
      <c r="B337" s="1"/>
      <c r="C337" s="1"/>
      <c r="D337" s="1"/>
      <c r="E337" s="1"/>
      <c r="F337" s="1"/>
    </row>
    <row r="338" spans="1:6" ht="15.75" customHeight="1" x14ac:dyDescent="0.35">
      <c r="A338" s="1"/>
      <c r="B338" s="1"/>
      <c r="C338" s="1"/>
      <c r="D338" s="1"/>
      <c r="E338" s="1"/>
      <c r="F338" s="1"/>
    </row>
    <row r="339" spans="1:6" ht="15.75" customHeight="1" x14ac:dyDescent="0.35">
      <c r="A339" s="1"/>
      <c r="B339" s="1"/>
      <c r="C339" s="1"/>
      <c r="D339" s="1"/>
      <c r="E339" s="1"/>
      <c r="F339" s="1"/>
    </row>
    <row r="340" spans="1:6" ht="15.75" customHeight="1" x14ac:dyDescent="0.35">
      <c r="A340" s="1"/>
      <c r="B340" s="1"/>
      <c r="C340" s="1"/>
      <c r="D340" s="1"/>
      <c r="E340" s="1"/>
      <c r="F340" s="1"/>
    </row>
    <row r="341" spans="1:6" ht="15.75" customHeight="1" x14ac:dyDescent="0.35">
      <c r="A341" s="1"/>
      <c r="B341" s="1"/>
      <c r="C341" s="1"/>
      <c r="D341" s="1"/>
      <c r="E341" s="1"/>
      <c r="F341" s="1"/>
    </row>
    <row r="342" spans="1:6" ht="15.75" customHeight="1" x14ac:dyDescent="0.35">
      <c r="A342" s="1"/>
      <c r="B342" s="1"/>
      <c r="C342" s="1"/>
      <c r="D342" s="1"/>
      <c r="E342" s="1"/>
      <c r="F342" s="1"/>
    </row>
    <row r="343" spans="1:6" ht="15.75" customHeight="1" x14ac:dyDescent="0.35">
      <c r="A343" s="1"/>
      <c r="B343" s="1"/>
      <c r="C343" s="1"/>
      <c r="D343" s="1"/>
      <c r="E343" s="1"/>
      <c r="F343" s="1"/>
    </row>
    <row r="344" spans="1:6" ht="15.75" customHeight="1" x14ac:dyDescent="0.35">
      <c r="A344" s="1"/>
      <c r="B344" s="1"/>
      <c r="C344" s="1"/>
      <c r="D344" s="1"/>
      <c r="E344" s="1"/>
      <c r="F344" s="1"/>
    </row>
    <row r="345" spans="1:6" ht="15.75" customHeight="1" x14ac:dyDescent="0.35">
      <c r="A345" s="1"/>
      <c r="B345" s="1"/>
      <c r="C345" s="1"/>
      <c r="D345" s="1"/>
      <c r="E345" s="1"/>
      <c r="F345" s="1"/>
    </row>
    <row r="346" spans="1:6" ht="15.75" customHeight="1" x14ac:dyDescent="0.35">
      <c r="A346" s="1"/>
      <c r="B346" s="1"/>
      <c r="C346" s="1"/>
      <c r="D346" s="1"/>
      <c r="E346" s="1"/>
      <c r="F346" s="1"/>
    </row>
    <row r="347" spans="1:6" ht="15.75" customHeight="1" x14ac:dyDescent="0.35">
      <c r="A347" s="1"/>
      <c r="B347" s="1"/>
      <c r="C347" s="1"/>
      <c r="D347" s="1"/>
      <c r="E347" s="1"/>
      <c r="F347" s="1"/>
    </row>
    <row r="348" spans="1:6" ht="15.75" customHeight="1" x14ac:dyDescent="0.35">
      <c r="A348" s="1"/>
      <c r="B348" s="1"/>
      <c r="C348" s="1"/>
      <c r="D348" s="1"/>
      <c r="E348" s="1"/>
      <c r="F348" s="1"/>
    </row>
    <row r="349" spans="1:6" ht="15.75" customHeight="1" x14ac:dyDescent="0.35">
      <c r="A349" s="1"/>
      <c r="B349" s="1"/>
      <c r="C349" s="1"/>
      <c r="D349" s="1"/>
      <c r="E349" s="1"/>
      <c r="F349" s="1"/>
    </row>
    <row r="350" spans="1:6" ht="15.75" customHeight="1" x14ac:dyDescent="0.35">
      <c r="A350" s="1"/>
      <c r="B350" s="1"/>
      <c r="C350" s="1"/>
      <c r="D350" s="1"/>
      <c r="E350" s="1"/>
      <c r="F350" s="1"/>
    </row>
    <row r="351" spans="1:6" ht="15.75" customHeight="1" x14ac:dyDescent="0.35">
      <c r="A351" s="1"/>
      <c r="B351" s="1"/>
      <c r="C351" s="1"/>
      <c r="D351" s="1"/>
      <c r="E351" s="1"/>
      <c r="F351" s="1"/>
    </row>
    <row r="352" spans="1:6" ht="15.75" customHeight="1" x14ac:dyDescent="0.35">
      <c r="A352" s="1"/>
      <c r="B352" s="1"/>
      <c r="C352" s="1"/>
      <c r="D352" s="1"/>
      <c r="E352" s="1"/>
      <c r="F352" s="1"/>
    </row>
    <row r="353" spans="1:6" ht="15.75" customHeight="1" x14ac:dyDescent="0.35">
      <c r="A353" s="1"/>
      <c r="B353" s="1"/>
      <c r="C353" s="1"/>
      <c r="D353" s="1"/>
      <c r="E353" s="1"/>
      <c r="F353" s="1"/>
    </row>
    <row r="354" spans="1:6" ht="15.75" customHeight="1" x14ac:dyDescent="0.35">
      <c r="A354" s="1"/>
      <c r="B354" s="1"/>
      <c r="C354" s="1"/>
      <c r="D354" s="1"/>
      <c r="E354" s="1"/>
      <c r="F354" s="1"/>
    </row>
    <row r="355" spans="1:6" ht="15.75" customHeight="1" x14ac:dyDescent="0.35">
      <c r="A355" s="1"/>
      <c r="B355" s="1"/>
      <c r="C355" s="1"/>
      <c r="D355" s="1"/>
      <c r="E355" s="1"/>
      <c r="F355" s="1"/>
    </row>
    <row r="356" spans="1:6" ht="15.75" customHeight="1" x14ac:dyDescent="0.35">
      <c r="A356" s="1"/>
      <c r="B356" s="1"/>
      <c r="C356" s="1"/>
      <c r="D356" s="1"/>
      <c r="E356" s="1"/>
      <c r="F356" s="1"/>
    </row>
    <row r="357" spans="1:6" ht="15.75" customHeight="1" x14ac:dyDescent="0.35">
      <c r="A357" s="1"/>
      <c r="B357" s="1"/>
      <c r="C357" s="1"/>
      <c r="D357" s="1"/>
      <c r="E357" s="1"/>
      <c r="F357" s="1"/>
    </row>
    <row r="358" spans="1:6" ht="15.75" customHeight="1" x14ac:dyDescent="0.35">
      <c r="A358" s="1"/>
      <c r="B358" s="1"/>
      <c r="C358" s="1"/>
      <c r="D358" s="1"/>
      <c r="E358" s="1"/>
      <c r="F358" s="1"/>
    </row>
    <row r="359" spans="1:6" ht="15.75" customHeight="1" x14ac:dyDescent="0.35">
      <c r="A359" s="1"/>
      <c r="B359" s="1"/>
      <c r="C359" s="1"/>
      <c r="D359" s="1"/>
      <c r="E359" s="1"/>
      <c r="F359" s="1"/>
    </row>
    <row r="360" spans="1:6" ht="15.75" customHeight="1" x14ac:dyDescent="0.35">
      <c r="A360" s="1"/>
      <c r="B360" s="1"/>
      <c r="C360" s="1"/>
      <c r="D360" s="1"/>
      <c r="E360" s="1"/>
      <c r="F360" s="1"/>
    </row>
    <row r="361" spans="1:6" ht="15.75" customHeight="1" x14ac:dyDescent="0.35">
      <c r="A361" s="1"/>
      <c r="B361" s="1"/>
      <c r="C361" s="1"/>
      <c r="D361" s="1"/>
      <c r="E361" s="1"/>
      <c r="F361" s="1"/>
    </row>
    <row r="362" spans="1:6" ht="15.75" customHeight="1" x14ac:dyDescent="0.35">
      <c r="A362" s="1"/>
      <c r="B362" s="1"/>
      <c r="C362" s="1"/>
      <c r="D362" s="1"/>
      <c r="E362" s="1"/>
      <c r="F362" s="1"/>
    </row>
    <row r="363" spans="1:6" ht="15.75" customHeight="1" x14ac:dyDescent="0.35">
      <c r="A363" s="1"/>
      <c r="B363" s="1"/>
      <c r="C363" s="1"/>
      <c r="D363" s="1"/>
      <c r="E363" s="1"/>
      <c r="F363" s="1"/>
    </row>
    <row r="364" spans="1:6" ht="15.75" customHeight="1" x14ac:dyDescent="0.35">
      <c r="A364" s="1"/>
      <c r="B364" s="1"/>
      <c r="C364" s="1"/>
      <c r="D364" s="1"/>
      <c r="E364" s="1"/>
      <c r="F364" s="1"/>
    </row>
    <row r="365" spans="1:6" ht="15.75" customHeight="1" x14ac:dyDescent="0.35">
      <c r="A365" s="1"/>
      <c r="B365" s="1"/>
      <c r="C365" s="1"/>
      <c r="D365" s="1"/>
      <c r="E365" s="1"/>
      <c r="F365" s="1"/>
    </row>
    <row r="366" spans="1:6" ht="15.75" customHeight="1" x14ac:dyDescent="0.35">
      <c r="A366" s="1"/>
      <c r="B366" s="1"/>
      <c r="C366" s="1"/>
      <c r="D366" s="1"/>
      <c r="E366" s="1"/>
      <c r="F366" s="1"/>
    </row>
    <row r="367" spans="1:6" ht="15.75" customHeight="1" x14ac:dyDescent="0.35">
      <c r="A367" s="1"/>
      <c r="B367" s="1"/>
      <c r="C367" s="1"/>
      <c r="D367" s="1"/>
      <c r="E367" s="1"/>
      <c r="F367" s="1"/>
    </row>
    <row r="368" spans="1:6" ht="15.75" customHeight="1" x14ac:dyDescent="0.35">
      <c r="A368" s="1"/>
      <c r="B368" s="1"/>
      <c r="C368" s="1"/>
      <c r="D368" s="1"/>
      <c r="E368" s="1"/>
      <c r="F368" s="1"/>
    </row>
    <row r="369" spans="1:6" ht="15.75" customHeight="1" x14ac:dyDescent="0.35">
      <c r="A369" s="1"/>
      <c r="B369" s="1"/>
      <c r="C369" s="1"/>
      <c r="D369" s="1"/>
      <c r="E369" s="1"/>
      <c r="F369" s="1"/>
    </row>
    <row r="370" spans="1:6" ht="15.75" customHeight="1" x14ac:dyDescent="0.35">
      <c r="A370" s="1"/>
      <c r="B370" s="1"/>
      <c r="C370" s="1"/>
      <c r="D370" s="1"/>
      <c r="E370" s="1"/>
      <c r="F370" s="1"/>
    </row>
    <row r="371" spans="1:6" ht="15.75" customHeight="1" x14ac:dyDescent="0.35">
      <c r="A371" s="1"/>
      <c r="B371" s="1"/>
      <c r="C371" s="1"/>
      <c r="D371" s="1"/>
      <c r="E371" s="1"/>
      <c r="F371" s="1"/>
    </row>
    <row r="372" spans="1:6" ht="15.75" customHeight="1" x14ac:dyDescent="0.35">
      <c r="A372" s="1"/>
      <c r="B372" s="1"/>
      <c r="C372" s="1"/>
      <c r="D372" s="1"/>
      <c r="E372" s="1"/>
      <c r="F372" s="1"/>
    </row>
    <row r="373" spans="1:6" ht="15.75" customHeight="1" x14ac:dyDescent="0.35">
      <c r="A373" s="1"/>
      <c r="B373" s="1"/>
      <c r="C373" s="1"/>
      <c r="D373" s="1"/>
      <c r="E373" s="1"/>
      <c r="F373" s="1"/>
    </row>
    <row r="374" spans="1:6" ht="15.75" customHeight="1" x14ac:dyDescent="0.35">
      <c r="A374" s="1"/>
      <c r="B374" s="1"/>
      <c r="C374" s="1"/>
      <c r="D374" s="1"/>
      <c r="E374" s="1"/>
      <c r="F374" s="1"/>
    </row>
    <row r="375" spans="1:6" ht="15.75" customHeight="1" x14ac:dyDescent="0.35">
      <c r="A375" s="1"/>
      <c r="B375" s="1"/>
      <c r="C375" s="1"/>
      <c r="D375" s="1"/>
      <c r="E375" s="1"/>
      <c r="F375" s="1"/>
    </row>
    <row r="376" spans="1:6" ht="15.75" customHeight="1" x14ac:dyDescent="0.35">
      <c r="A376" s="1"/>
      <c r="B376" s="1"/>
      <c r="C376" s="1"/>
      <c r="D376" s="1"/>
      <c r="E376" s="1"/>
      <c r="F376" s="1"/>
    </row>
    <row r="377" spans="1:6" ht="15.75" customHeight="1" x14ac:dyDescent="0.35">
      <c r="A377" s="1"/>
      <c r="B377" s="1"/>
      <c r="C377" s="1"/>
      <c r="D377" s="1"/>
      <c r="E377" s="1"/>
      <c r="F377" s="1"/>
    </row>
    <row r="378" spans="1:6" ht="15.75" customHeight="1" x14ac:dyDescent="0.35">
      <c r="A378" s="1"/>
      <c r="B378" s="1"/>
      <c r="C378" s="1"/>
      <c r="D378" s="1"/>
      <c r="E378" s="1"/>
      <c r="F378" s="1"/>
    </row>
    <row r="379" spans="1:6" ht="15.75" customHeight="1" x14ac:dyDescent="0.35">
      <c r="A379" s="1"/>
      <c r="B379" s="1"/>
      <c r="C379" s="1"/>
      <c r="D379" s="1"/>
      <c r="E379" s="1"/>
      <c r="F379" s="1"/>
    </row>
    <row r="380" spans="1:6" ht="15.75" customHeight="1" x14ac:dyDescent="0.35">
      <c r="A380" s="1"/>
      <c r="B380" s="1"/>
      <c r="C380" s="1"/>
      <c r="D380" s="1"/>
      <c r="E380" s="1"/>
      <c r="F380" s="1"/>
    </row>
    <row r="381" spans="1:6" ht="15.75" customHeight="1" x14ac:dyDescent="0.35">
      <c r="A381" s="1"/>
      <c r="B381" s="1"/>
      <c r="C381" s="1"/>
      <c r="D381" s="1"/>
      <c r="E381" s="1"/>
      <c r="F381" s="1"/>
    </row>
    <row r="382" spans="1:6" ht="15.75" customHeight="1" x14ac:dyDescent="0.35">
      <c r="A382" s="1"/>
      <c r="B382" s="1"/>
      <c r="C382" s="1"/>
      <c r="D382" s="1"/>
      <c r="E382" s="1"/>
      <c r="F382" s="1"/>
    </row>
    <row r="383" spans="1:6" ht="15.75" customHeight="1" x14ac:dyDescent="0.35">
      <c r="A383" s="1"/>
      <c r="B383" s="1"/>
      <c r="C383" s="1"/>
      <c r="D383" s="1"/>
      <c r="E383" s="1"/>
      <c r="F383" s="1"/>
    </row>
    <row r="384" spans="1:6" ht="15.75" customHeight="1" x14ac:dyDescent="0.35">
      <c r="A384" s="1"/>
      <c r="B384" s="1"/>
      <c r="C384" s="1"/>
      <c r="D384" s="1"/>
      <c r="E384" s="1"/>
      <c r="F384" s="1"/>
    </row>
    <row r="385" spans="1:6" ht="15.75" customHeight="1" x14ac:dyDescent="0.35">
      <c r="A385" s="1"/>
      <c r="B385" s="1"/>
      <c r="C385" s="1"/>
      <c r="D385" s="1"/>
      <c r="E385" s="1"/>
      <c r="F385" s="1"/>
    </row>
    <row r="386" spans="1:6" ht="15.75" customHeight="1" x14ac:dyDescent="0.35">
      <c r="A386" s="1"/>
      <c r="B386" s="1"/>
      <c r="C386" s="1"/>
      <c r="D386" s="1"/>
      <c r="E386" s="1"/>
      <c r="F386" s="1"/>
    </row>
    <row r="387" spans="1:6" ht="15.75" customHeight="1" x14ac:dyDescent="0.35">
      <c r="A387" s="1"/>
      <c r="B387" s="1"/>
      <c r="C387" s="1"/>
      <c r="D387" s="1"/>
      <c r="E387" s="1"/>
      <c r="F387" s="1"/>
    </row>
    <row r="388" spans="1:6" ht="15.75" customHeight="1" x14ac:dyDescent="0.35">
      <c r="A388" s="1"/>
      <c r="B388" s="1"/>
      <c r="C388" s="1"/>
      <c r="D388" s="1"/>
      <c r="E388" s="1"/>
      <c r="F388" s="1"/>
    </row>
    <row r="389" spans="1:6" ht="15.75" customHeight="1" x14ac:dyDescent="0.35">
      <c r="A389" s="1"/>
      <c r="B389" s="1"/>
      <c r="C389" s="1"/>
      <c r="D389" s="1"/>
      <c r="E389" s="1"/>
      <c r="F389" s="1"/>
    </row>
    <row r="390" spans="1:6" ht="15.75" customHeight="1" x14ac:dyDescent="0.35">
      <c r="A390" s="1"/>
      <c r="B390" s="1"/>
      <c r="C390" s="1"/>
      <c r="D390" s="1"/>
      <c r="E390" s="1"/>
      <c r="F390" s="1"/>
    </row>
    <row r="391" spans="1:6" ht="15.75" customHeight="1" x14ac:dyDescent="0.35">
      <c r="A391" s="1"/>
      <c r="B391" s="1"/>
      <c r="C391" s="1"/>
      <c r="D391" s="1"/>
      <c r="E391" s="1"/>
      <c r="F391" s="1"/>
    </row>
    <row r="392" spans="1:6" ht="15.75" customHeight="1" x14ac:dyDescent="0.35">
      <c r="A392" s="1"/>
      <c r="B392" s="1"/>
      <c r="C392" s="1"/>
      <c r="D392" s="1"/>
      <c r="E392" s="1"/>
      <c r="F392" s="1"/>
    </row>
    <row r="393" spans="1:6" ht="15.75" customHeight="1" x14ac:dyDescent="0.35">
      <c r="A393" s="1"/>
      <c r="B393" s="1"/>
      <c r="C393" s="1"/>
      <c r="D393" s="1"/>
      <c r="E393" s="1"/>
      <c r="F393" s="1"/>
    </row>
    <row r="394" spans="1:6" ht="15.75" customHeight="1" x14ac:dyDescent="0.35">
      <c r="A394" s="1"/>
      <c r="B394" s="1"/>
      <c r="C394" s="1"/>
      <c r="D394" s="1"/>
      <c r="E394" s="1"/>
      <c r="F394" s="1"/>
    </row>
    <row r="395" spans="1:6" ht="15.75" customHeight="1" x14ac:dyDescent="0.35">
      <c r="A395" s="1"/>
      <c r="B395" s="1"/>
      <c r="C395" s="1"/>
      <c r="D395" s="1"/>
      <c r="E395" s="1"/>
      <c r="F395" s="1"/>
    </row>
    <row r="396" spans="1:6" ht="15.75" customHeight="1" x14ac:dyDescent="0.35">
      <c r="A396" s="1"/>
      <c r="B396" s="1"/>
      <c r="C396" s="1"/>
      <c r="D396" s="1"/>
      <c r="E396" s="1"/>
      <c r="F396" s="1"/>
    </row>
    <row r="397" spans="1:6" ht="15.75" customHeight="1" x14ac:dyDescent="0.35">
      <c r="A397" s="1"/>
      <c r="B397" s="1"/>
      <c r="C397" s="1"/>
      <c r="D397" s="1"/>
      <c r="E397" s="1"/>
      <c r="F397" s="1"/>
    </row>
    <row r="398" spans="1:6" ht="15.75" customHeight="1" x14ac:dyDescent="0.35">
      <c r="A398" s="1"/>
      <c r="B398" s="1"/>
      <c r="C398" s="1"/>
      <c r="D398" s="1"/>
      <c r="E398" s="1"/>
      <c r="F398" s="1"/>
    </row>
    <row r="399" spans="1:6" ht="15.75" customHeight="1" x14ac:dyDescent="0.35">
      <c r="A399" s="1"/>
      <c r="B399" s="1"/>
      <c r="C399" s="1"/>
      <c r="D399" s="1"/>
      <c r="E399" s="1"/>
      <c r="F399" s="1"/>
    </row>
    <row r="400" spans="1:6" ht="15.75" customHeight="1" x14ac:dyDescent="0.35">
      <c r="A400" s="1"/>
      <c r="B400" s="1"/>
      <c r="C400" s="1"/>
      <c r="D400" s="1"/>
      <c r="E400" s="1"/>
      <c r="F400" s="1"/>
    </row>
    <row r="401" spans="1:6" ht="15.75" customHeight="1" x14ac:dyDescent="0.35">
      <c r="A401" s="1"/>
      <c r="B401" s="1"/>
      <c r="C401" s="1"/>
      <c r="D401" s="1"/>
      <c r="E401" s="1"/>
      <c r="F401" s="1"/>
    </row>
    <row r="402" spans="1:6" ht="15.75" customHeight="1" x14ac:dyDescent="0.35">
      <c r="A402" s="1"/>
      <c r="B402" s="1"/>
      <c r="C402" s="1"/>
      <c r="D402" s="1"/>
      <c r="E402" s="1"/>
      <c r="F402" s="1"/>
    </row>
    <row r="403" spans="1:6" ht="15.75" customHeight="1" x14ac:dyDescent="0.35">
      <c r="A403" s="1"/>
      <c r="B403" s="1"/>
      <c r="C403" s="1"/>
      <c r="D403" s="1"/>
      <c r="E403" s="1"/>
      <c r="F403" s="1"/>
    </row>
    <row r="404" spans="1:6" ht="15.75" customHeight="1" x14ac:dyDescent="0.35">
      <c r="A404" s="1"/>
      <c r="B404" s="1"/>
      <c r="C404" s="1"/>
      <c r="D404" s="1"/>
      <c r="E404" s="1"/>
      <c r="F404" s="1"/>
    </row>
    <row r="405" spans="1:6" ht="15.75" customHeight="1" x14ac:dyDescent="0.35">
      <c r="A405" s="1"/>
      <c r="B405" s="1"/>
      <c r="C405" s="1"/>
      <c r="D405" s="1"/>
      <c r="E405" s="1"/>
      <c r="F405" s="1"/>
    </row>
    <row r="406" spans="1:6" ht="15.75" customHeight="1" x14ac:dyDescent="0.35">
      <c r="A406" s="1"/>
      <c r="B406" s="1"/>
      <c r="C406" s="1"/>
      <c r="D406" s="1"/>
      <c r="E406" s="1"/>
      <c r="F406" s="1"/>
    </row>
    <row r="407" spans="1:6" ht="15.75" customHeight="1" x14ac:dyDescent="0.35">
      <c r="A407" s="1"/>
      <c r="B407" s="1"/>
      <c r="C407" s="1"/>
      <c r="D407" s="1"/>
      <c r="E407" s="1"/>
      <c r="F407" s="1"/>
    </row>
    <row r="408" spans="1:6" ht="15.75" customHeight="1" x14ac:dyDescent="0.35">
      <c r="A408" s="1"/>
      <c r="B408" s="1"/>
      <c r="C408" s="1"/>
      <c r="D408" s="1"/>
      <c r="E408" s="1"/>
      <c r="F408" s="1"/>
    </row>
    <row r="409" spans="1:6" ht="15.75" customHeight="1" x14ac:dyDescent="0.35">
      <c r="A409" s="1"/>
      <c r="B409" s="1"/>
      <c r="C409" s="1"/>
      <c r="D409" s="1"/>
      <c r="E409" s="1"/>
      <c r="F409" s="1"/>
    </row>
    <row r="410" spans="1:6" ht="15.75" customHeight="1" x14ac:dyDescent="0.35">
      <c r="A410" s="1"/>
      <c r="B410" s="1"/>
      <c r="C410" s="1"/>
      <c r="D410" s="1"/>
      <c r="E410" s="1"/>
      <c r="F410" s="1"/>
    </row>
    <row r="411" spans="1:6" ht="15.75" customHeight="1" x14ac:dyDescent="0.35">
      <c r="A411" s="1"/>
      <c r="B411" s="1"/>
      <c r="C411" s="1"/>
      <c r="D411" s="1"/>
      <c r="E411" s="1"/>
      <c r="F411" s="1"/>
    </row>
    <row r="412" spans="1:6" ht="15.75" customHeight="1" x14ac:dyDescent="0.35">
      <c r="A412" s="1"/>
      <c r="B412" s="1"/>
      <c r="C412" s="1"/>
      <c r="D412" s="1"/>
      <c r="E412" s="1"/>
      <c r="F412" s="1"/>
    </row>
    <row r="413" spans="1:6" ht="15.75" customHeight="1" x14ac:dyDescent="0.35">
      <c r="A413" s="1"/>
      <c r="B413" s="1"/>
      <c r="C413" s="1"/>
      <c r="D413" s="1"/>
      <c r="E413" s="1"/>
      <c r="F413" s="1"/>
    </row>
    <row r="414" spans="1:6" ht="15.75" customHeight="1" x14ac:dyDescent="0.35">
      <c r="A414" s="1"/>
      <c r="B414" s="1"/>
      <c r="C414" s="1"/>
      <c r="D414" s="1"/>
      <c r="E414" s="1"/>
      <c r="F414" s="1"/>
    </row>
    <row r="415" spans="1:6" ht="15.75" customHeight="1" x14ac:dyDescent="0.35">
      <c r="A415" s="1"/>
      <c r="B415" s="1"/>
      <c r="C415" s="1"/>
      <c r="D415" s="1"/>
      <c r="E415" s="1"/>
      <c r="F415" s="1"/>
    </row>
    <row r="416" spans="1:6" ht="15.75" customHeight="1" x14ac:dyDescent="0.35">
      <c r="A416" s="1"/>
      <c r="B416" s="1"/>
      <c r="C416" s="1"/>
      <c r="D416" s="1"/>
      <c r="E416" s="1"/>
      <c r="F416" s="1"/>
    </row>
    <row r="417" spans="1:6" ht="15.75" customHeight="1" x14ac:dyDescent="0.35">
      <c r="A417" s="1"/>
      <c r="B417" s="1"/>
      <c r="C417" s="1"/>
      <c r="D417" s="1"/>
      <c r="E417" s="1"/>
      <c r="F417" s="1"/>
    </row>
    <row r="418" spans="1:6" ht="15.75" customHeight="1" x14ac:dyDescent="0.35">
      <c r="A418" s="1"/>
      <c r="B418" s="1"/>
      <c r="C418" s="1"/>
      <c r="D418" s="1"/>
      <c r="E418" s="1"/>
      <c r="F418" s="1"/>
    </row>
    <row r="419" spans="1:6" ht="15.75" customHeight="1" x14ac:dyDescent="0.35">
      <c r="A419" s="1"/>
      <c r="B419" s="1"/>
      <c r="C419" s="1"/>
      <c r="D419" s="1"/>
      <c r="E419" s="1"/>
      <c r="F419" s="1"/>
    </row>
    <row r="420" spans="1:6" ht="15.75" customHeight="1" x14ac:dyDescent="0.35">
      <c r="A420" s="1"/>
      <c r="B420" s="1"/>
      <c r="C420" s="1"/>
      <c r="D420" s="1"/>
      <c r="E420" s="1"/>
      <c r="F420" s="1"/>
    </row>
    <row r="421" spans="1:6" ht="15.75" customHeight="1" x14ac:dyDescent="0.35">
      <c r="A421" s="1"/>
      <c r="B421" s="1"/>
      <c r="C421" s="1"/>
      <c r="D421" s="1"/>
      <c r="E421" s="1"/>
      <c r="F421" s="1"/>
    </row>
    <row r="422" spans="1:6" ht="15.75" customHeight="1" x14ac:dyDescent="0.35">
      <c r="A422" s="1"/>
      <c r="B422" s="1"/>
      <c r="C422" s="1"/>
      <c r="D422" s="1"/>
      <c r="E422" s="1"/>
      <c r="F422" s="1"/>
    </row>
    <row r="423" spans="1:6" ht="15.75" customHeight="1" x14ac:dyDescent="0.35">
      <c r="A423" s="1"/>
      <c r="B423" s="1"/>
      <c r="C423" s="1"/>
      <c r="D423" s="1"/>
      <c r="E423" s="1"/>
      <c r="F423" s="1"/>
    </row>
    <row r="424" spans="1:6" ht="15.75" customHeight="1" x14ac:dyDescent="0.35">
      <c r="A424" s="1"/>
      <c r="B424" s="1"/>
      <c r="C424" s="1"/>
      <c r="D424" s="1"/>
      <c r="E424" s="1"/>
      <c r="F424" s="1"/>
    </row>
    <row r="425" spans="1:6" ht="15.75" customHeight="1" x14ac:dyDescent="0.35">
      <c r="A425" s="1"/>
      <c r="B425" s="1"/>
      <c r="C425" s="1"/>
      <c r="D425" s="1"/>
      <c r="E425" s="1"/>
      <c r="F425" s="1"/>
    </row>
    <row r="426" spans="1:6" ht="15.75" customHeight="1" x14ac:dyDescent="0.35">
      <c r="A426" s="1"/>
      <c r="B426" s="1"/>
      <c r="C426" s="1"/>
      <c r="D426" s="1"/>
      <c r="E426" s="1"/>
      <c r="F426" s="1"/>
    </row>
    <row r="427" spans="1:6" ht="15.75" customHeight="1" x14ac:dyDescent="0.35">
      <c r="A427" s="1"/>
      <c r="B427" s="1"/>
      <c r="C427" s="1"/>
      <c r="D427" s="1"/>
      <c r="E427" s="1"/>
      <c r="F427" s="1"/>
    </row>
    <row r="428" spans="1:6" ht="15.75" customHeight="1" x14ac:dyDescent="0.35">
      <c r="A428" s="1"/>
      <c r="B428" s="1"/>
      <c r="C428" s="1"/>
      <c r="D428" s="1"/>
      <c r="E428" s="1"/>
      <c r="F428" s="1"/>
    </row>
    <row r="429" spans="1:6" ht="15.75" customHeight="1" x14ac:dyDescent="0.35">
      <c r="A429" s="1"/>
      <c r="B429" s="1"/>
      <c r="C429" s="1"/>
      <c r="D429" s="1"/>
      <c r="E429" s="1"/>
      <c r="F429" s="1"/>
    </row>
    <row r="430" spans="1:6" ht="15.75" customHeight="1" x14ac:dyDescent="0.35">
      <c r="A430" s="1"/>
      <c r="B430" s="1"/>
      <c r="C430" s="1"/>
      <c r="D430" s="1"/>
      <c r="E430" s="1"/>
      <c r="F430" s="1"/>
    </row>
    <row r="431" spans="1:6" ht="15.75" customHeight="1" x14ac:dyDescent="0.35">
      <c r="A431" s="1"/>
      <c r="B431" s="1"/>
      <c r="C431" s="1"/>
      <c r="D431" s="1"/>
      <c r="E431" s="1"/>
      <c r="F431" s="1"/>
    </row>
    <row r="432" spans="1:6" ht="15.75" customHeight="1" x14ac:dyDescent="0.35">
      <c r="A432" s="1"/>
      <c r="B432" s="1"/>
      <c r="C432" s="1"/>
      <c r="D432" s="1"/>
      <c r="E432" s="1"/>
      <c r="F432" s="1"/>
    </row>
    <row r="433" spans="1:6" ht="15.75" customHeight="1" x14ac:dyDescent="0.35">
      <c r="A433" s="1"/>
      <c r="B433" s="1"/>
      <c r="C433" s="1"/>
      <c r="D433" s="1"/>
      <c r="E433" s="1"/>
      <c r="F433" s="1"/>
    </row>
    <row r="434" spans="1:6" ht="15.75" customHeight="1" x14ac:dyDescent="0.35">
      <c r="A434" s="1"/>
      <c r="B434" s="1"/>
      <c r="C434" s="1"/>
      <c r="D434" s="1"/>
      <c r="E434" s="1"/>
      <c r="F434" s="1"/>
    </row>
    <row r="435" spans="1:6" ht="15.75" customHeight="1" x14ac:dyDescent="0.35">
      <c r="A435" s="1"/>
      <c r="B435" s="1"/>
      <c r="C435" s="1"/>
      <c r="D435" s="1"/>
      <c r="E435" s="1"/>
      <c r="F435" s="1"/>
    </row>
    <row r="436" spans="1:6" ht="15.75" customHeight="1" x14ac:dyDescent="0.35">
      <c r="A436" s="1"/>
      <c r="B436" s="1"/>
      <c r="C436" s="1"/>
      <c r="D436" s="1"/>
      <c r="E436" s="1"/>
      <c r="F436" s="1"/>
    </row>
    <row r="437" spans="1:6" ht="15.75" customHeight="1" x14ac:dyDescent="0.35">
      <c r="A437" s="1"/>
      <c r="B437" s="1"/>
      <c r="C437" s="1"/>
      <c r="D437" s="1"/>
      <c r="E437" s="1"/>
      <c r="F437" s="1"/>
    </row>
    <row r="438" spans="1:6" ht="15.75" customHeight="1" x14ac:dyDescent="0.35">
      <c r="A438" s="1"/>
      <c r="B438" s="1"/>
      <c r="C438" s="1"/>
      <c r="D438" s="1"/>
      <c r="E438" s="1"/>
      <c r="F438" s="1"/>
    </row>
    <row r="439" spans="1:6" ht="15.75" customHeight="1" x14ac:dyDescent="0.35">
      <c r="A439" s="1"/>
      <c r="B439" s="1"/>
      <c r="C439" s="1"/>
      <c r="D439" s="1"/>
      <c r="E439" s="1"/>
      <c r="F439" s="1"/>
    </row>
    <row r="440" spans="1:6" ht="15.75" customHeight="1" x14ac:dyDescent="0.35">
      <c r="A440" s="1"/>
      <c r="B440" s="1"/>
      <c r="C440" s="1"/>
      <c r="D440" s="1"/>
      <c r="E440" s="1"/>
      <c r="F440" s="1"/>
    </row>
    <row r="441" spans="1:6" ht="15.75" customHeight="1" x14ac:dyDescent="0.35">
      <c r="A441" s="1"/>
      <c r="B441" s="1"/>
      <c r="C441" s="1"/>
      <c r="D441" s="1"/>
      <c r="E441" s="1"/>
      <c r="F441" s="1"/>
    </row>
    <row r="442" spans="1:6" ht="15.75" customHeight="1" x14ac:dyDescent="0.35">
      <c r="A442" s="1"/>
      <c r="B442" s="1"/>
      <c r="C442" s="1"/>
      <c r="D442" s="1"/>
      <c r="E442" s="1"/>
      <c r="F442" s="1"/>
    </row>
    <row r="443" spans="1:6" ht="15.75" customHeight="1" x14ac:dyDescent="0.35">
      <c r="A443" s="1"/>
      <c r="B443" s="1"/>
      <c r="C443" s="1"/>
      <c r="D443" s="1"/>
      <c r="E443" s="1"/>
      <c r="F443" s="1"/>
    </row>
    <row r="444" spans="1:6" ht="15.75" customHeight="1" x14ac:dyDescent="0.35">
      <c r="A444" s="1"/>
      <c r="B444" s="1"/>
      <c r="C444" s="1"/>
      <c r="D444" s="1"/>
      <c r="E444" s="1"/>
      <c r="F444" s="1"/>
    </row>
    <row r="445" spans="1:6" ht="15.75" customHeight="1" x14ac:dyDescent="0.35">
      <c r="A445" s="1"/>
      <c r="B445" s="1"/>
      <c r="C445" s="1"/>
      <c r="D445" s="1"/>
      <c r="E445" s="1"/>
      <c r="F445" s="1"/>
    </row>
    <row r="446" spans="1:6" ht="15.75" customHeight="1" x14ac:dyDescent="0.35">
      <c r="A446" s="1"/>
      <c r="B446" s="1"/>
      <c r="C446" s="1"/>
      <c r="D446" s="1"/>
      <c r="E446" s="1"/>
      <c r="F446" s="1"/>
    </row>
    <row r="447" spans="1:6" ht="15.75" customHeight="1" x14ac:dyDescent="0.35">
      <c r="A447" s="1"/>
      <c r="B447" s="1"/>
      <c r="C447" s="1"/>
      <c r="D447" s="1"/>
      <c r="E447" s="1"/>
      <c r="F447" s="1"/>
    </row>
    <row r="448" spans="1:6" ht="15.75" customHeight="1" x14ac:dyDescent="0.35">
      <c r="A448" s="1"/>
      <c r="B448" s="1"/>
      <c r="C448" s="1"/>
      <c r="D448" s="1"/>
      <c r="E448" s="1"/>
      <c r="F448" s="1"/>
    </row>
    <row r="449" spans="1:6" ht="15.75" customHeight="1" x14ac:dyDescent="0.35">
      <c r="A449" s="1"/>
      <c r="B449" s="1"/>
      <c r="C449" s="1"/>
      <c r="D449" s="1"/>
      <c r="E449" s="1"/>
      <c r="F449" s="1"/>
    </row>
    <row r="450" spans="1:6" ht="15.75" customHeight="1" x14ac:dyDescent="0.35">
      <c r="A450" s="1"/>
      <c r="B450" s="1"/>
      <c r="C450" s="1"/>
      <c r="D450" s="1"/>
      <c r="E450" s="1"/>
      <c r="F450" s="1"/>
    </row>
    <row r="451" spans="1:6" ht="15.75" customHeight="1" x14ac:dyDescent="0.35">
      <c r="A451" s="1"/>
      <c r="B451" s="1"/>
      <c r="C451" s="1"/>
      <c r="D451" s="1"/>
      <c r="E451" s="1"/>
      <c r="F451" s="1"/>
    </row>
    <row r="452" spans="1:6" ht="15.75" customHeight="1" x14ac:dyDescent="0.35">
      <c r="A452" s="1"/>
      <c r="B452" s="1"/>
      <c r="C452" s="1"/>
      <c r="D452" s="1"/>
      <c r="E452" s="1"/>
      <c r="F452" s="1"/>
    </row>
    <row r="453" spans="1:6" ht="15.75" customHeight="1" x14ac:dyDescent="0.35">
      <c r="A453" s="1"/>
      <c r="B453" s="1"/>
      <c r="C453" s="1"/>
      <c r="D453" s="1"/>
      <c r="E453" s="1"/>
      <c r="F453" s="1"/>
    </row>
    <row r="454" spans="1:6" ht="15.75" customHeight="1" x14ac:dyDescent="0.35">
      <c r="A454" s="1"/>
      <c r="B454" s="1"/>
      <c r="C454" s="1"/>
      <c r="D454" s="1"/>
      <c r="E454" s="1"/>
      <c r="F454" s="1"/>
    </row>
    <row r="455" spans="1:6" ht="15.75" customHeight="1" x14ac:dyDescent="0.35">
      <c r="A455" s="1"/>
      <c r="B455" s="1"/>
      <c r="C455" s="1"/>
      <c r="D455" s="1"/>
      <c r="E455" s="1"/>
      <c r="F455" s="1"/>
    </row>
    <row r="456" spans="1:6" ht="15.75" customHeight="1" x14ac:dyDescent="0.35">
      <c r="A456" s="1"/>
      <c r="B456" s="1"/>
      <c r="C456" s="1"/>
      <c r="D456" s="1"/>
      <c r="E456" s="1"/>
      <c r="F456" s="1"/>
    </row>
    <row r="457" spans="1:6" ht="15.75" customHeight="1" x14ac:dyDescent="0.35">
      <c r="A457" s="1"/>
      <c r="B457" s="1"/>
      <c r="C457" s="1"/>
      <c r="D457" s="1"/>
      <c r="E457" s="1"/>
      <c r="F457" s="1"/>
    </row>
    <row r="458" spans="1:6" ht="15.75" customHeight="1" x14ac:dyDescent="0.35">
      <c r="A458" s="1"/>
      <c r="B458" s="1"/>
      <c r="C458" s="1"/>
      <c r="D458" s="1"/>
      <c r="E458" s="1"/>
      <c r="F458" s="1"/>
    </row>
    <row r="459" spans="1:6" ht="15.75" customHeight="1" x14ac:dyDescent="0.35">
      <c r="A459" s="1"/>
      <c r="B459" s="1"/>
      <c r="C459" s="1"/>
      <c r="D459" s="1"/>
      <c r="E459" s="1"/>
      <c r="F459" s="1"/>
    </row>
    <row r="460" spans="1:6" ht="15.75" customHeight="1" x14ac:dyDescent="0.35">
      <c r="A460" s="1"/>
      <c r="B460" s="1"/>
      <c r="C460" s="1"/>
      <c r="D460" s="1"/>
      <c r="E460" s="1"/>
      <c r="F460" s="1"/>
    </row>
    <row r="461" spans="1:6" ht="15.75" customHeight="1" x14ac:dyDescent="0.35">
      <c r="A461" s="1"/>
      <c r="B461" s="1"/>
      <c r="C461" s="1"/>
      <c r="D461" s="1"/>
      <c r="E461" s="1"/>
      <c r="F461" s="1"/>
    </row>
    <row r="462" spans="1:6" ht="15.75" customHeight="1" x14ac:dyDescent="0.35">
      <c r="A462" s="1"/>
      <c r="B462" s="1"/>
      <c r="C462" s="1"/>
      <c r="D462" s="1"/>
      <c r="E462" s="1"/>
      <c r="F462" s="1"/>
    </row>
    <row r="463" spans="1:6" ht="15.75" customHeight="1" x14ac:dyDescent="0.35">
      <c r="A463" s="1"/>
      <c r="B463" s="1"/>
      <c r="C463" s="1"/>
      <c r="D463" s="1"/>
      <c r="E463" s="1"/>
      <c r="F463" s="1"/>
    </row>
    <row r="464" spans="1:6" ht="15.75" customHeight="1" x14ac:dyDescent="0.35">
      <c r="A464" s="1"/>
      <c r="B464" s="1"/>
      <c r="C464" s="1"/>
      <c r="D464" s="1"/>
      <c r="E464" s="1"/>
      <c r="F464" s="1"/>
    </row>
    <row r="465" spans="1:6" ht="15.75" customHeight="1" x14ac:dyDescent="0.35">
      <c r="A465" s="1"/>
      <c r="B465" s="1"/>
      <c r="C465" s="1"/>
      <c r="D465" s="1"/>
      <c r="E465" s="1"/>
      <c r="F465" s="1"/>
    </row>
    <row r="466" spans="1:6" ht="15.75" customHeight="1" x14ac:dyDescent="0.35">
      <c r="A466" s="1"/>
      <c r="B466" s="1"/>
      <c r="C466" s="1"/>
      <c r="D466" s="1"/>
      <c r="E466" s="1"/>
      <c r="F466" s="1"/>
    </row>
    <row r="467" spans="1:6" ht="15.75" customHeight="1" x14ac:dyDescent="0.35">
      <c r="A467" s="1"/>
      <c r="B467" s="1"/>
      <c r="C467" s="1"/>
      <c r="D467" s="1"/>
      <c r="E467" s="1"/>
      <c r="F467" s="1"/>
    </row>
    <row r="468" spans="1:6" ht="15.75" customHeight="1" x14ac:dyDescent="0.35">
      <c r="A468" s="1"/>
      <c r="B468" s="1"/>
      <c r="C468" s="1"/>
      <c r="D468" s="1"/>
      <c r="E468" s="1"/>
      <c r="F468" s="1"/>
    </row>
    <row r="469" spans="1:6" ht="15.75" customHeight="1" x14ac:dyDescent="0.35">
      <c r="A469" s="1"/>
      <c r="B469" s="1"/>
      <c r="C469" s="1"/>
      <c r="D469" s="1"/>
      <c r="E469" s="1"/>
      <c r="F469" s="1"/>
    </row>
    <row r="470" spans="1:6" ht="15.75" customHeight="1" x14ac:dyDescent="0.35">
      <c r="A470" s="1"/>
      <c r="B470" s="1"/>
      <c r="C470" s="1"/>
      <c r="D470" s="1"/>
      <c r="E470" s="1"/>
      <c r="F470" s="1"/>
    </row>
    <row r="471" spans="1:6" ht="15.75" customHeight="1" x14ac:dyDescent="0.35">
      <c r="A471" s="1"/>
      <c r="B471" s="1"/>
      <c r="C471" s="1"/>
      <c r="D471" s="1"/>
      <c r="E471" s="1"/>
      <c r="F471" s="1"/>
    </row>
    <row r="472" spans="1:6" ht="15.75" customHeight="1" x14ac:dyDescent="0.35">
      <c r="A472" s="1"/>
      <c r="B472" s="1"/>
      <c r="C472" s="1"/>
      <c r="D472" s="1"/>
      <c r="E472" s="1"/>
      <c r="F472" s="1"/>
    </row>
    <row r="473" spans="1:6" ht="15.75" customHeight="1" x14ac:dyDescent="0.35">
      <c r="A473" s="1"/>
      <c r="B473" s="1"/>
      <c r="C473" s="1"/>
      <c r="D473" s="1"/>
      <c r="E473" s="1"/>
      <c r="F473" s="1"/>
    </row>
    <row r="474" spans="1:6" ht="15.75" customHeight="1" x14ac:dyDescent="0.35">
      <c r="A474" s="1"/>
      <c r="B474" s="1"/>
      <c r="C474" s="1"/>
      <c r="D474" s="1"/>
      <c r="E474" s="1"/>
      <c r="F474" s="1"/>
    </row>
    <row r="475" spans="1:6" ht="15.75" customHeight="1" x14ac:dyDescent="0.35">
      <c r="A475" s="1"/>
      <c r="B475" s="1"/>
      <c r="C475" s="1"/>
      <c r="D475" s="1"/>
      <c r="E475" s="1"/>
      <c r="F475" s="1"/>
    </row>
    <row r="476" spans="1:6" ht="15.75" customHeight="1" x14ac:dyDescent="0.35">
      <c r="A476" s="1"/>
      <c r="B476" s="1"/>
      <c r="C476" s="1"/>
      <c r="D476" s="1"/>
      <c r="E476" s="1"/>
      <c r="F476" s="1"/>
    </row>
    <row r="477" spans="1:6" ht="15.75" customHeight="1" x14ac:dyDescent="0.35">
      <c r="A477" s="1"/>
      <c r="B477" s="1"/>
      <c r="C477" s="1"/>
      <c r="D477" s="1"/>
      <c r="E477" s="1"/>
      <c r="F477" s="1"/>
    </row>
    <row r="478" spans="1:6" ht="15.75" customHeight="1" x14ac:dyDescent="0.35">
      <c r="A478" s="1"/>
      <c r="B478" s="1"/>
      <c r="C478" s="1"/>
      <c r="D478" s="1"/>
      <c r="E478" s="1"/>
      <c r="F478" s="1"/>
    </row>
    <row r="479" spans="1:6" ht="15.75" customHeight="1" x14ac:dyDescent="0.35">
      <c r="A479" s="1"/>
      <c r="B479" s="1"/>
      <c r="C479" s="1"/>
      <c r="D479" s="1"/>
      <c r="E479" s="1"/>
      <c r="F479" s="1"/>
    </row>
    <row r="480" spans="1:6" ht="15.75" customHeight="1" x14ac:dyDescent="0.35">
      <c r="A480" s="1"/>
      <c r="B480" s="1"/>
      <c r="C480" s="1"/>
      <c r="D480" s="1"/>
      <c r="E480" s="1"/>
      <c r="F480" s="1"/>
    </row>
    <row r="481" spans="1:6" ht="15.75" customHeight="1" x14ac:dyDescent="0.35">
      <c r="A481" s="1"/>
      <c r="B481" s="1"/>
      <c r="C481" s="1"/>
      <c r="D481" s="1"/>
      <c r="E481" s="1"/>
      <c r="F481" s="1"/>
    </row>
    <row r="482" spans="1:6" ht="15.75" customHeight="1" x14ac:dyDescent="0.35">
      <c r="A482" s="1"/>
      <c r="B482" s="1"/>
      <c r="C482" s="1"/>
      <c r="D482" s="1"/>
      <c r="E482" s="1"/>
      <c r="F482" s="1"/>
    </row>
    <row r="483" spans="1:6" ht="15.75" customHeight="1" x14ac:dyDescent="0.35">
      <c r="A483" s="1"/>
      <c r="B483" s="1"/>
      <c r="C483" s="1"/>
      <c r="D483" s="1"/>
      <c r="E483" s="1"/>
      <c r="F483" s="1"/>
    </row>
    <row r="484" spans="1:6" ht="15.75" customHeight="1" x14ac:dyDescent="0.35">
      <c r="A484" s="1"/>
      <c r="B484" s="1"/>
      <c r="C484" s="1"/>
      <c r="D484" s="1"/>
      <c r="E484" s="1"/>
      <c r="F484" s="1"/>
    </row>
    <row r="485" spans="1:6" ht="15.75" customHeight="1" x14ac:dyDescent="0.35">
      <c r="A485" s="1"/>
      <c r="B485" s="1"/>
      <c r="C485" s="1"/>
      <c r="D485" s="1"/>
      <c r="E485" s="1"/>
      <c r="F485" s="1"/>
    </row>
    <row r="486" spans="1:6" ht="15.75" customHeight="1" x14ac:dyDescent="0.35">
      <c r="A486" s="1"/>
      <c r="B486" s="1"/>
      <c r="C486" s="1"/>
      <c r="D486" s="1"/>
      <c r="E486" s="1"/>
      <c r="F486" s="1"/>
    </row>
    <row r="487" spans="1:6" ht="15.75" customHeight="1" x14ac:dyDescent="0.35">
      <c r="A487" s="1"/>
      <c r="B487" s="1"/>
      <c r="C487" s="1"/>
      <c r="D487" s="1"/>
      <c r="E487" s="1"/>
      <c r="F487" s="1"/>
    </row>
    <row r="488" spans="1:6" ht="15.75" customHeight="1" x14ac:dyDescent="0.35">
      <c r="A488" s="1"/>
      <c r="B488" s="1"/>
      <c r="C488" s="1"/>
      <c r="D488" s="1"/>
      <c r="E488" s="1"/>
      <c r="F488" s="1"/>
    </row>
    <row r="489" spans="1:6" ht="15.75" customHeight="1" x14ac:dyDescent="0.35">
      <c r="A489" s="1"/>
      <c r="B489" s="1"/>
      <c r="C489" s="1"/>
      <c r="D489" s="1"/>
      <c r="E489" s="1"/>
      <c r="F489" s="1"/>
    </row>
    <row r="490" spans="1:6" ht="15.75" customHeight="1" x14ac:dyDescent="0.35">
      <c r="A490" s="1"/>
      <c r="B490" s="1"/>
      <c r="C490" s="1"/>
      <c r="D490" s="1"/>
      <c r="E490" s="1"/>
      <c r="F490" s="1"/>
    </row>
    <row r="491" spans="1:6" ht="15.75" customHeight="1" x14ac:dyDescent="0.35">
      <c r="A491" s="1"/>
      <c r="B491" s="1"/>
      <c r="C491" s="1"/>
      <c r="D491" s="1"/>
      <c r="E491" s="1"/>
      <c r="F491" s="1"/>
    </row>
    <row r="492" spans="1:6" ht="15.75" customHeight="1" x14ac:dyDescent="0.35">
      <c r="A492" s="1"/>
      <c r="B492" s="1"/>
      <c r="C492" s="1"/>
      <c r="D492" s="1"/>
      <c r="E492" s="1"/>
      <c r="F492" s="1"/>
    </row>
    <row r="493" spans="1:6" ht="15.75" customHeight="1" x14ac:dyDescent="0.35">
      <c r="A493" s="1"/>
      <c r="B493" s="1"/>
      <c r="C493" s="1"/>
      <c r="D493" s="1"/>
      <c r="E493" s="1"/>
      <c r="F493" s="1"/>
    </row>
    <row r="494" spans="1:6" ht="15.75" customHeight="1" x14ac:dyDescent="0.35">
      <c r="A494" s="1"/>
      <c r="B494" s="1"/>
      <c r="C494" s="1"/>
      <c r="D494" s="1"/>
      <c r="E494" s="1"/>
      <c r="F494" s="1"/>
    </row>
    <row r="495" spans="1:6" ht="15.75" customHeight="1" x14ac:dyDescent="0.35">
      <c r="A495" s="1"/>
      <c r="B495" s="1"/>
      <c r="C495" s="1"/>
      <c r="D495" s="1"/>
      <c r="E495" s="1"/>
      <c r="F495" s="1"/>
    </row>
    <row r="496" spans="1:6" ht="15.75" customHeight="1" x14ac:dyDescent="0.35">
      <c r="A496" s="1"/>
      <c r="B496" s="1"/>
      <c r="C496" s="1"/>
      <c r="D496" s="1"/>
      <c r="E496" s="1"/>
      <c r="F496" s="1"/>
    </row>
    <row r="497" spans="1:6" ht="15.75" customHeight="1" x14ac:dyDescent="0.35">
      <c r="A497" s="1"/>
      <c r="B497" s="1"/>
      <c r="C497" s="1"/>
      <c r="D497" s="1"/>
      <c r="E497" s="1"/>
      <c r="F497" s="1"/>
    </row>
    <row r="498" spans="1:6" ht="15.75" customHeight="1" x14ac:dyDescent="0.35">
      <c r="A498" s="1"/>
      <c r="B498" s="1"/>
      <c r="C498" s="1"/>
      <c r="D498" s="1"/>
      <c r="E498" s="1"/>
      <c r="F498" s="1"/>
    </row>
    <row r="499" spans="1:6" ht="15.75" customHeight="1" x14ac:dyDescent="0.35">
      <c r="A499" s="1"/>
      <c r="B499" s="1"/>
      <c r="C499" s="1"/>
      <c r="D499" s="1"/>
      <c r="E499" s="1"/>
      <c r="F499" s="1"/>
    </row>
    <row r="500" spans="1:6" ht="15.75" customHeight="1" x14ac:dyDescent="0.35">
      <c r="A500" s="1"/>
      <c r="B500" s="1"/>
      <c r="C500" s="1"/>
      <c r="D500" s="1"/>
      <c r="E500" s="1"/>
      <c r="F500" s="1"/>
    </row>
    <row r="501" spans="1:6" ht="15.75" customHeight="1" x14ac:dyDescent="0.35">
      <c r="A501" s="1"/>
      <c r="B501" s="1"/>
      <c r="C501" s="1"/>
      <c r="D501" s="1"/>
      <c r="E501" s="1"/>
      <c r="F501" s="1"/>
    </row>
    <row r="502" spans="1:6" ht="15.75" customHeight="1" x14ac:dyDescent="0.35">
      <c r="A502" s="1"/>
      <c r="B502" s="1"/>
      <c r="C502" s="1"/>
      <c r="D502" s="1"/>
      <c r="E502" s="1"/>
      <c r="F502" s="1"/>
    </row>
    <row r="503" spans="1:6" ht="15.75" customHeight="1" x14ac:dyDescent="0.35">
      <c r="A503" s="1"/>
      <c r="B503" s="1"/>
      <c r="C503" s="1"/>
      <c r="D503" s="1"/>
      <c r="E503" s="1"/>
      <c r="F503" s="1"/>
    </row>
    <row r="504" spans="1:6" ht="15.75" customHeight="1" x14ac:dyDescent="0.35">
      <c r="A504" s="1"/>
      <c r="B504" s="1"/>
      <c r="C504" s="1"/>
      <c r="D504" s="1"/>
      <c r="E504" s="1"/>
      <c r="F504" s="1"/>
    </row>
    <row r="505" spans="1:6" ht="15.75" customHeight="1" x14ac:dyDescent="0.35">
      <c r="A505" s="1"/>
      <c r="B505" s="1"/>
      <c r="C505" s="1"/>
      <c r="D505" s="1"/>
      <c r="E505" s="1"/>
      <c r="F505" s="1"/>
    </row>
    <row r="506" spans="1:6" ht="15.75" customHeight="1" x14ac:dyDescent="0.35">
      <c r="A506" s="1"/>
      <c r="B506" s="1"/>
      <c r="C506" s="1"/>
      <c r="D506" s="1"/>
      <c r="E506" s="1"/>
      <c r="F506" s="1"/>
    </row>
    <row r="507" spans="1:6" ht="15.75" customHeight="1" x14ac:dyDescent="0.35">
      <c r="A507" s="1"/>
      <c r="B507" s="1"/>
      <c r="C507" s="1"/>
      <c r="D507" s="1"/>
      <c r="E507" s="1"/>
      <c r="F507" s="1"/>
    </row>
    <row r="508" spans="1:6" ht="15.75" customHeight="1" x14ac:dyDescent="0.35">
      <c r="A508" s="1"/>
      <c r="B508" s="1"/>
      <c r="C508" s="1"/>
      <c r="D508" s="1"/>
      <c r="E508" s="1"/>
      <c r="F508" s="1"/>
    </row>
    <row r="509" spans="1:6" ht="15.75" customHeight="1" x14ac:dyDescent="0.35">
      <c r="A509" s="1"/>
      <c r="B509" s="1"/>
      <c r="C509" s="1"/>
      <c r="D509" s="1"/>
      <c r="E509" s="1"/>
      <c r="F509" s="1"/>
    </row>
    <row r="510" spans="1:6" ht="15.75" customHeight="1" x14ac:dyDescent="0.35">
      <c r="A510" s="1"/>
      <c r="B510" s="1"/>
      <c r="C510" s="1"/>
      <c r="D510" s="1"/>
      <c r="E510" s="1"/>
      <c r="F510" s="1"/>
    </row>
    <row r="511" spans="1:6" ht="15.75" customHeight="1" x14ac:dyDescent="0.35">
      <c r="A511" s="1"/>
      <c r="B511" s="1"/>
      <c r="C511" s="1"/>
      <c r="D511" s="1"/>
      <c r="E511" s="1"/>
      <c r="F511" s="1"/>
    </row>
    <row r="512" spans="1:6" ht="15.75" customHeight="1" x14ac:dyDescent="0.35">
      <c r="A512" s="1"/>
      <c r="B512" s="1"/>
      <c r="C512" s="1"/>
      <c r="D512" s="1"/>
      <c r="E512" s="1"/>
      <c r="F512" s="1"/>
    </row>
    <row r="513" spans="1:6" ht="15.75" customHeight="1" x14ac:dyDescent="0.35">
      <c r="A513" s="1"/>
      <c r="B513" s="1"/>
      <c r="C513" s="1"/>
      <c r="D513" s="1"/>
      <c r="E513" s="1"/>
      <c r="F513" s="1"/>
    </row>
    <row r="514" spans="1:6" ht="15.75" customHeight="1" x14ac:dyDescent="0.35">
      <c r="A514" s="1"/>
      <c r="B514" s="1"/>
      <c r="C514" s="1"/>
      <c r="D514" s="1"/>
      <c r="E514" s="1"/>
      <c r="F514" s="1"/>
    </row>
    <row r="515" spans="1:6" ht="15.75" customHeight="1" x14ac:dyDescent="0.35">
      <c r="A515" s="1"/>
      <c r="B515" s="1"/>
      <c r="C515" s="1"/>
      <c r="D515" s="1"/>
      <c r="E515" s="1"/>
      <c r="F515" s="1"/>
    </row>
    <row r="516" spans="1:6" ht="15.75" customHeight="1" x14ac:dyDescent="0.35">
      <c r="A516" s="1"/>
      <c r="B516" s="1"/>
      <c r="C516" s="1"/>
      <c r="D516" s="1"/>
      <c r="E516" s="1"/>
      <c r="F516" s="1"/>
    </row>
    <row r="517" spans="1:6" ht="15.75" customHeight="1" x14ac:dyDescent="0.35">
      <c r="A517" s="1"/>
      <c r="B517" s="1"/>
      <c r="C517" s="1"/>
      <c r="D517" s="1"/>
      <c r="E517" s="1"/>
      <c r="F517" s="1"/>
    </row>
    <row r="518" spans="1:6" ht="15.75" customHeight="1" x14ac:dyDescent="0.35">
      <c r="A518" s="1"/>
      <c r="B518" s="1"/>
      <c r="C518" s="1"/>
      <c r="D518" s="1"/>
      <c r="E518" s="1"/>
      <c r="F518" s="1"/>
    </row>
    <row r="519" spans="1:6" ht="15.75" customHeight="1" x14ac:dyDescent="0.35">
      <c r="A519" s="1"/>
      <c r="B519" s="1"/>
      <c r="C519" s="1"/>
      <c r="D519" s="1"/>
      <c r="E519" s="1"/>
      <c r="F519" s="1"/>
    </row>
    <row r="520" spans="1:6" ht="15.75" customHeight="1" x14ac:dyDescent="0.35">
      <c r="A520" s="1"/>
      <c r="B520" s="1"/>
      <c r="C520" s="1"/>
      <c r="D520" s="1"/>
      <c r="E520" s="1"/>
      <c r="F520" s="1"/>
    </row>
    <row r="521" spans="1:6" ht="15.75" customHeight="1" x14ac:dyDescent="0.35">
      <c r="A521" s="1"/>
      <c r="B521" s="1"/>
      <c r="C521" s="1"/>
      <c r="D521" s="1"/>
      <c r="E521" s="1"/>
      <c r="F521" s="1"/>
    </row>
    <row r="522" spans="1:6" ht="15.75" customHeight="1" x14ac:dyDescent="0.35">
      <c r="A522" s="1"/>
      <c r="B522" s="1"/>
      <c r="C522" s="1"/>
      <c r="D522" s="1"/>
      <c r="E522" s="1"/>
      <c r="F522" s="1"/>
    </row>
    <row r="523" spans="1:6" ht="15.75" customHeight="1" x14ac:dyDescent="0.35">
      <c r="A523" s="1"/>
      <c r="B523" s="1"/>
      <c r="C523" s="1"/>
      <c r="D523" s="1"/>
      <c r="E523" s="1"/>
      <c r="F523" s="1"/>
    </row>
    <row r="524" spans="1:6" ht="15.75" customHeight="1" x14ac:dyDescent="0.35">
      <c r="A524" s="1"/>
      <c r="B524" s="1"/>
      <c r="C524" s="1"/>
      <c r="D524" s="1"/>
      <c r="E524" s="1"/>
      <c r="F524" s="1"/>
    </row>
    <row r="525" spans="1:6" ht="15.75" customHeight="1" x14ac:dyDescent="0.35">
      <c r="A525" s="1"/>
      <c r="B525" s="1"/>
      <c r="C525" s="1"/>
      <c r="D525" s="1"/>
      <c r="E525" s="1"/>
      <c r="F525" s="1"/>
    </row>
    <row r="526" spans="1:6" ht="15.75" customHeight="1" x14ac:dyDescent="0.35">
      <c r="A526" s="1"/>
      <c r="B526" s="1"/>
      <c r="C526" s="1"/>
      <c r="D526" s="1"/>
      <c r="E526" s="1"/>
      <c r="F526" s="1"/>
    </row>
    <row r="527" spans="1:6" ht="15.75" customHeight="1" x14ac:dyDescent="0.35">
      <c r="A527" s="1"/>
      <c r="B527" s="1"/>
      <c r="C527" s="1"/>
      <c r="D527" s="1"/>
      <c r="E527" s="1"/>
      <c r="F527" s="1"/>
    </row>
    <row r="528" spans="1:6" ht="15.75" customHeight="1" x14ac:dyDescent="0.35">
      <c r="A528" s="1"/>
      <c r="B528" s="1"/>
      <c r="C528" s="1"/>
      <c r="D528" s="1"/>
      <c r="E528" s="1"/>
      <c r="F528" s="1"/>
    </row>
    <row r="529" spans="1:6" ht="15.75" customHeight="1" x14ac:dyDescent="0.35">
      <c r="A529" s="1"/>
      <c r="B529" s="1"/>
      <c r="C529" s="1"/>
      <c r="D529" s="1"/>
      <c r="E529" s="1"/>
      <c r="F529" s="1"/>
    </row>
    <row r="530" spans="1:6" ht="15.75" customHeight="1" x14ac:dyDescent="0.35">
      <c r="A530" s="1"/>
      <c r="B530" s="1"/>
      <c r="C530" s="1"/>
      <c r="D530" s="1"/>
      <c r="E530" s="1"/>
      <c r="F530" s="1"/>
    </row>
    <row r="531" spans="1:6" ht="15.75" customHeight="1" x14ac:dyDescent="0.35">
      <c r="A531" s="1"/>
      <c r="B531" s="1"/>
      <c r="C531" s="1"/>
      <c r="D531" s="1"/>
      <c r="E531" s="1"/>
      <c r="F531" s="1"/>
    </row>
    <row r="532" spans="1:6" ht="15.75" customHeight="1" x14ac:dyDescent="0.35">
      <c r="A532" s="1"/>
      <c r="B532" s="1"/>
      <c r="C532" s="1"/>
      <c r="D532" s="1"/>
      <c r="E532" s="1"/>
      <c r="F532" s="1"/>
    </row>
    <row r="533" spans="1:6" ht="15.75" customHeight="1" x14ac:dyDescent="0.35">
      <c r="A533" s="1"/>
      <c r="B533" s="1"/>
      <c r="C533" s="1"/>
      <c r="D533" s="1"/>
      <c r="E533" s="1"/>
      <c r="F533" s="1"/>
    </row>
    <row r="534" spans="1:6" ht="15.75" customHeight="1" x14ac:dyDescent="0.35">
      <c r="A534" s="1"/>
      <c r="B534" s="1"/>
      <c r="C534" s="1"/>
      <c r="D534" s="1"/>
      <c r="E534" s="1"/>
      <c r="F534" s="1"/>
    </row>
    <row r="535" spans="1:6" ht="15.75" customHeight="1" x14ac:dyDescent="0.35">
      <c r="A535" s="1"/>
      <c r="B535" s="1"/>
      <c r="C535" s="1"/>
      <c r="D535" s="1"/>
      <c r="E535" s="1"/>
      <c r="F535" s="1"/>
    </row>
    <row r="536" spans="1:6" ht="15.75" customHeight="1" x14ac:dyDescent="0.35">
      <c r="A536" s="1"/>
      <c r="B536" s="1"/>
      <c r="C536" s="1"/>
      <c r="D536" s="1"/>
      <c r="E536" s="1"/>
      <c r="F536" s="1"/>
    </row>
    <row r="537" spans="1:6" ht="15.75" customHeight="1" x14ac:dyDescent="0.35">
      <c r="A537" s="1"/>
      <c r="B537" s="1"/>
      <c r="C537" s="1"/>
      <c r="D537" s="1"/>
      <c r="E537" s="1"/>
      <c r="F537" s="1"/>
    </row>
    <row r="538" spans="1:6" ht="15.75" customHeight="1" x14ac:dyDescent="0.35">
      <c r="A538" s="1"/>
      <c r="B538" s="1"/>
      <c r="C538" s="1"/>
      <c r="D538" s="1"/>
      <c r="E538" s="1"/>
      <c r="F538" s="1"/>
    </row>
    <row r="539" spans="1:6" ht="15.75" customHeight="1" x14ac:dyDescent="0.35">
      <c r="A539" s="1"/>
      <c r="B539" s="1"/>
      <c r="C539" s="1"/>
      <c r="D539" s="1"/>
      <c r="E539" s="1"/>
      <c r="F539" s="1"/>
    </row>
    <row r="540" spans="1:6" ht="15.75" customHeight="1" x14ac:dyDescent="0.35">
      <c r="A540" s="1"/>
      <c r="B540" s="1"/>
      <c r="C540" s="1"/>
      <c r="D540" s="1"/>
      <c r="E540" s="1"/>
      <c r="F540" s="1"/>
    </row>
    <row r="541" spans="1:6" ht="15.75" customHeight="1" x14ac:dyDescent="0.35">
      <c r="A541" s="1"/>
      <c r="B541" s="1"/>
      <c r="C541" s="1"/>
      <c r="D541" s="1"/>
      <c r="E541" s="1"/>
      <c r="F541" s="1"/>
    </row>
    <row r="542" spans="1:6" ht="15.75" customHeight="1" x14ac:dyDescent="0.35">
      <c r="A542" s="1"/>
      <c r="B542" s="1"/>
      <c r="C542" s="1"/>
      <c r="D542" s="1"/>
      <c r="E542" s="1"/>
      <c r="F542" s="1"/>
    </row>
    <row r="543" spans="1:6" ht="15.75" customHeight="1" x14ac:dyDescent="0.35">
      <c r="A543" s="1"/>
      <c r="B543" s="1"/>
      <c r="C543" s="1"/>
      <c r="D543" s="1"/>
      <c r="E543" s="1"/>
      <c r="F543" s="1"/>
    </row>
    <row r="544" spans="1:6" ht="15.75" customHeight="1" x14ac:dyDescent="0.35">
      <c r="A544" s="1"/>
      <c r="B544" s="1"/>
      <c r="C544" s="1"/>
      <c r="D544" s="1"/>
      <c r="E544" s="1"/>
      <c r="F544" s="1"/>
    </row>
    <row r="545" spans="1:6" ht="15.75" customHeight="1" x14ac:dyDescent="0.35">
      <c r="A545" s="1"/>
      <c r="B545" s="1"/>
      <c r="C545" s="1"/>
      <c r="D545" s="1"/>
      <c r="E545" s="1"/>
      <c r="F545" s="1"/>
    </row>
    <row r="546" spans="1:6" ht="15.75" customHeight="1" x14ac:dyDescent="0.35">
      <c r="A546" s="1"/>
      <c r="B546" s="1"/>
      <c r="C546" s="1"/>
      <c r="D546" s="1"/>
      <c r="E546" s="1"/>
      <c r="F546" s="1"/>
    </row>
    <row r="547" spans="1:6" ht="15.75" customHeight="1" x14ac:dyDescent="0.35">
      <c r="A547" s="1"/>
      <c r="B547" s="1"/>
      <c r="C547" s="1"/>
      <c r="D547" s="1"/>
      <c r="E547" s="1"/>
      <c r="F547" s="1"/>
    </row>
    <row r="548" spans="1:6" ht="15.75" customHeight="1" x14ac:dyDescent="0.35">
      <c r="A548" s="1"/>
      <c r="B548" s="1"/>
      <c r="C548" s="1"/>
      <c r="D548" s="1"/>
      <c r="E548" s="1"/>
      <c r="F548" s="1"/>
    </row>
    <row r="549" spans="1:6" ht="15.75" customHeight="1" x14ac:dyDescent="0.35">
      <c r="A549" s="1"/>
      <c r="B549" s="1"/>
      <c r="C549" s="1"/>
      <c r="D549" s="1"/>
      <c r="E549" s="1"/>
      <c r="F549" s="1"/>
    </row>
    <row r="550" spans="1:6" ht="15.75" customHeight="1" x14ac:dyDescent="0.35">
      <c r="A550" s="1"/>
      <c r="B550" s="1"/>
      <c r="C550" s="1"/>
      <c r="D550" s="1"/>
      <c r="E550" s="1"/>
      <c r="F550" s="1"/>
    </row>
    <row r="551" spans="1:6" ht="15.75" customHeight="1" x14ac:dyDescent="0.35">
      <c r="A551" s="1"/>
      <c r="B551" s="1"/>
      <c r="C551" s="1"/>
      <c r="D551" s="1"/>
      <c r="E551" s="1"/>
      <c r="F551" s="1"/>
    </row>
    <row r="552" spans="1:6" ht="15.75" customHeight="1" x14ac:dyDescent="0.35">
      <c r="A552" s="1"/>
      <c r="B552" s="1"/>
      <c r="C552" s="1"/>
      <c r="D552" s="1"/>
      <c r="E552" s="1"/>
      <c r="F552" s="1"/>
    </row>
    <row r="553" spans="1:6" ht="15.75" customHeight="1" x14ac:dyDescent="0.35">
      <c r="A553" s="1"/>
      <c r="B553" s="1"/>
      <c r="C553" s="1"/>
      <c r="D553" s="1"/>
      <c r="E553" s="1"/>
      <c r="F553" s="1"/>
    </row>
    <row r="554" spans="1:6" ht="15.75" customHeight="1" x14ac:dyDescent="0.35">
      <c r="A554" s="1"/>
      <c r="B554" s="1"/>
      <c r="C554" s="1"/>
      <c r="D554" s="1"/>
      <c r="E554" s="1"/>
      <c r="F554" s="1"/>
    </row>
    <row r="555" spans="1:6" ht="15.75" customHeight="1" x14ac:dyDescent="0.35">
      <c r="A555" s="1"/>
      <c r="B555" s="1"/>
      <c r="C555" s="1"/>
      <c r="D555" s="1"/>
      <c r="E555" s="1"/>
      <c r="F555" s="1"/>
    </row>
    <row r="556" spans="1:6" ht="15.75" customHeight="1" x14ac:dyDescent="0.35">
      <c r="A556" s="1"/>
      <c r="B556" s="1"/>
      <c r="C556" s="1"/>
      <c r="D556" s="1"/>
      <c r="E556" s="1"/>
      <c r="F556" s="1"/>
    </row>
    <row r="557" spans="1:6" ht="15.75" customHeight="1" x14ac:dyDescent="0.35">
      <c r="A557" s="1"/>
      <c r="B557" s="1"/>
      <c r="C557" s="1"/>
      <c r="D557" s="1"/>
      <c r="E557" s="1"/>
      <c r="F557" s="1"/>
    </row>
    <row r="558" spans="1:6" ht="15.75" customHeight="1" x14ac:dyDescent="0.35">
      <c r="A558" s="1"/>
      <c r="B558" s="1"/>
      <c r="C558" s="1"/>
      <c r="D558" s="1"/>
      <c r="E558" s="1"/>
      <c r="F558" s="1"/>
    </row>
    <row r="559" spans="1:6" ht="15.75" customHeight="1" x14ac:dyDescent="0.35">
      <c r="A559" s="1"/>
      <c r="B559" s="1"/>
      <c r="C559" s="1"/>
      <c r="D559" s="1"/>
      <c r="E559" s="1"/>
      <c r="F559" s="1"/>
    </row>
    <row r="560" spans="1:6" ht="15.75" customHeight="1" x14ac:dyDescent="0.35">
      <c r="A560" s="1"/>
      <c r="B560" s="1"/>
      <c r="C560" s="1"/>
      <c r="D560" s="1"/>
      <c r="E560" s="1"/>
      <c r="F560" s="1"/>
    </row>
    <row r="561" spans="1:6" ht="15.75" customHeight="1" x14ac:dyDescent="0.35">
      <c r="A561" s="1"/>
      <c r="B561" s="1"/>
      <c r="C561" s="1"/>
      <c r="D561" s="1"/>
      <c r="E561" s="1"/>
      <c r="F561" s="1"/>
    </row>
    <row r="562" spans="1:6" ht="15.75" customHeight="1" x14ac:dyDescent="0.35">
      <c r="A562" s="1"/>
      <c r="B562" s="1"/>
      <c r="C562" s="1"/>
      <c r="D562" s="1"/>
      <c r="E562" s="1"/>
      <c r="F562" s="1"/>
    </row>
    <row r="563" spans="1:6" ht="15.75" customHeight="1" x14ac:dyDescent="0.35">
      <c r="A563" s="1"/>
      <c r="B563" s="1"/>
      <c r="C563" s="1"/>
      <c r="D563" s="1"/>
      <c r="E563" s="1"/>
      <c r="F563" s="1"/>
    </row>
    <row r="564" spans="1:6" ht="15.75" customHeight="1" x14ac:dyDescent="0.35">
      <c r="A564" s="1"/>
      <c r="B564" s="1"/>
      <c r="C564" s="1"/>
      <c r="D564" s="1"/>
      <c r="E564" s="1"/>
      <c r="F564" s="1"/>
    </row>
    <row r="565" spans="1:6" ht="15.75" customHeight="1" x14ac:dyDescent="0.35">
      <c r="A565" s="1"/>
      <c r="B565" s="1"/>
      <c r="C565" s="1"/>
      <c r="D565" s="1"/>
      <c r="E565" s="1"/>
      <c r="F565" s="1"/>
    </row>
    <row r="566" spans="1:6" ht="15.75" customHeight="1" x14ac:dyDescent="0.35">
      <c r="A566" s="1"/>
      <c r="B566" s="1"/>
      <c r="C566" s="1"/>
      <c r="D566" s="1"/>
      <c r="E566" s="1"/>
      <c r="F566" s="1"/>
    </row>
    <row r="567" spans="1:6" ht="15.75" customHeight="1" x14ac:dyDescent="0.35">
      <c r="A567" s="1"/>
      <c r="B567" s="1"/>
      <c r="C567" s="1"/>
      <c r="D567" s="1"/>
      <c r="E567" s="1"/>
      <c r="F567" s="1"/>
    </row>
    <row r="568" spans="1:6" ht="15.75" customHeight="1" x14ac:dyDescent="0.35">
      <c r="A568" s="1"/>
      <c r="B568" s="1"/>
      <c r="C568" s="1"/>
      <c r="D568" s="1"/>
      <c r="E568" s="1"/>
      <c r="F568" s="1"/>
    </row>
    <row r="569" spans="1:6" ht="15.75" customHeight="1" x14ac:dyDescent="0.35">
      <c r="A569" s="1"/>
      <c r="B569" s="1"/>
      <c r="C569" s="1"/>
      <c r="D569" s="1"/>
      <c r="E569" s="1"/>
      <c r="F569" s="1"/>
    </row>
    <row r="570" spans="1:6" ht="15.75" customHeight="1" x14ac:dyDescent="0.35">
      <c r="A570" s="1"/>
      <c r="B570" s="1"/>
      <c r="C570" s="1"/>
      <c r="D570" s="1"/>
      <c r="E570" s="1"/>
      <c r="F570" s="1"/>
    </row>
    <row r="571" spans="1:6" ht="15.75" customHeight="1" x14ac:dyDescent="0.35">
      <c r="A571" s="1"/>
      <c r="B571" s="1"/>
      <c r="C571" s="1"/>
      <c r="D571" s="1"/>
      <c r="E571" s="1"/>
      <c r="F571" s="1"/>
    </row>
    <row r="572" spans="1:6" ht="15.75" customHeight="1" x14ac:dyDescent="0.35">
      <c r="A572" s="1"/>
      <c r="B572" s="1"/>
      <c r="C572" s="1"/>
      <c r="D572" s="1"/>
      <c r="E572" s="1"/>
      <c r="F572" s="1"/>
    </row>
    <row r="573" spans="1:6" ht="15.75" customHeight="1" x14ac:dyDescent="0.35">
      <c r="A573" s="1"/>
      <c r="B573" s="1"/>
      <c r="C573" s="1"/>
      <c r="D573" s="1"/>
      <c r="E573" s="1"/>
      <c r="F573" s="1"/>
    </row>
    <row r="574" spans="1:6" ht="15.75" customHeight="1" x14ac:dyDescent="0.35">
      <c r="A574" s="1"/>
      <c r="B574" s="1"/>
      <c r="C574" s="1"/>
      <c r="D574" s="1"/>
      <c r="E574" s="1"/>
      <c r="F574" s="1"/>
    </row>
    <row r="575" spans="1:6" ht="15.75" customHeight="1" x14ac:dyDescent="0.35">
      <c r="A575" s="1"/>
      <c r="B575" s="1"/>
      <c r="C575" s="1"/>
      <c r="D575" s="1"/>
      <c r="E575" s="1"/>
      <c r="F575" s="1"/>
    </row>
    <row r="576" spans="1:6" ht="15.75" customHeight="1" x14ac:dyDescent="0.35">
      <c r="A576" s="1"/>
      <c r="B576" s="1"/>
      <c r="C576" s="1"/>
      <c r="D576" s="1"/>
      <c r="E576" s="1"/>
      <c r="F576" s="1"/>
    </row>
    <row r="577" spans="1:6" ht="15.75" customHeight="1" x14ac:dyDescent="0.35">
      <c r="A577" s="1"/>
      <c r="B577" s="1"/>
      <c r="C577" s="1"/>
      <c r="D577" s="1"/>
      <c r="E577" s="1"/>
      <c r="F577" s="1"/>
    </row>
    <row r="578" spans="1:6" ht="15.75" customHeight="1" x14ac:dyDescent="0.35">
      <c r="A578" s="1"/>
      <c r="B578" s="1"/>
      <c r="C578" s="1"/>
      <c r="D578" s="1"/>
      <c r="E578" s="1"/>
      <c r="F578" s="1"/>
    </row>
    <row r="579" spans="1:6" ht="15.75" customHeight="1" x14ac:dyDescent="0.35">
      <c r="A579" s="1"/>
      <c r="B579" s="1"/>
      <c r="C579" s="1"/>
      <c r="D579" s="1"/>
      <c r="E579" s="1"/>
      <c r="F579" s="1"/>
    </row>
    <row r="580" spans="1:6" ht="15.75" customHeight="1" x14ac:dyDescent="0.35">
      <c r="A580" s="1"/>
      <c r="B580" s="1"/>
      <c r="C580" s="1"/>
      <c r="D580" s="1"/>
      <c r="E580" s="1"/>
      <c r="F580" s="1"/>
    </row>
    <row r="581" spans="1:6" ht="15.75" customHeight="1" x14ac:dyDescent="0.35">
      <c r="A581" s="1"/>
      <c r="B581" s="1"/>
      <c r="C581" s="1"/>
      <c r="D581" s="1"/>
      <c r="E581" s="1"/>
      <c r="F581" s="1"/>
    </row>
    <row r="582" spans="1:6" ht="15.75" customHeight="1" x14ac:dyDescent="0.35">
      <c r="A582" s="1"/>
      <c r="B582" s="1"/>
      <c r="C582" s="1"/>
      <c r="D582" s="1"/>
      <c r="E582" s="1"/>
      <c r="F582" s="1"/>
    </row>
    <row r="583" spans="1:6" ht="15.75" customHeight="1" x14ac:dyDescent="0.35">
      <c r="A583" s="1"/>
      <c r="B583" s="1"/>
      <c r="C583" s="1"/>
      <c r="D583" s="1"/>
      <c r="E583" s="1"/>
      <c r="F583" s="1"/>
    </row>
    <row r="584" spans="1:6" ht="15.75" customHeight="1" x14ac:dyDescent="0.35">
      <c r="A584" s="1"/>
      <c r="B584" s="1"/>
      <c r="C584" s="1"/>
      <c r="D584" s="1"/>
      <c r="E584" s="1"/>
      <c r="F584" s="1"/>
    </row>
    <row r="585" spans="1:6" ht="15.75" customHeight="1" x14ac:dyDescent="0.35">
      <c r="A585" s="1"/>
      <c r="B585" s="1"/>
      <c r="C585" s="1"/>
      <c r="D585" s="1"/>
      <c r="E585" s="1"/>
      <c r="F585" s="1"/>
    </row>
    <row r="586" spans="1:6" ht="15.75" customHeight="1" x14ac:dyDescent="0.35">
      <c r="A586" s="1"/>
      <c r="B586" s="1"/>
      <c r="C586" s="1"/>
      <c r="D586" s="1"/>
      <c r="E586" s="1"/>
      <c r="F586" s="1"/>
    </row>
    <row r="587" spans="1:6" ht="15.75" customHeight="1" x14ac:dyDescent="0.35">
      <c r="A587" s="1"/>
      <c r="B587" s="1"/>
      <c r="C587" s="1"/>
      <c r="D587" s="1"/>
      <c r="E587" s="1"/>
      <c r="F587" s="1"/>
    </row>
    <row r="588" spans="1:6" ht="15.75" customHeight="1" x14ac:dyDescent="0.35">
      <c r="A588" s="1"/>
      <c r="B588" s="1"/>
      <c r="C588" s="1"/>
      <c r="D588" s="1"/>
      <c r="E588" s="1"/>
      <c r="F588" s="1"/>
    </row>
    <row r="589" spans="1:6" ht="15.75" customHeight="1" x14ac:dyDescent="0.35">
      <c r="A589" s="1"/>
      <c r="B589" s="1"/>
      <c r="C589" s="1"/>
      <c r="D589" s="1"/>
      <c r="E589" s="1"/>
      <c r="F589" s="1"/>
    </row>
    <row r="590" spans="1:6" ht="15.75" customHeight="1" x14ac:dyDescent="0.35">
      <c r="A590" s="1"/>
      <c r="B590" s="1"/>
      <c r="C590" s="1"/>
      <c r="D590" s="1"/>
      <c r="E590" s="1"/>
      <c r="F590" s="1"/>
    </row>
    <row r="591" spans="1:6" ht="15.75" customHeight="1" x14ac:dyDescent="0.35">
      <c r="A591" s="1"/>
      <c r="B591" s="1"/>
      <c r="C591" s="1"/>
      <c r="D591" s="1"/>
      <c r="E591" s="1"/>
      <c r="F591" s="1"/>
    </row>
    <row r="592" spans="1:6" ht="15.75" customHeight="1" x14ac:dyDescent="0.35">
      <c r="A592" s="1"/>
      <c r="B592" s="1"/>
      <c r="C592" s="1"/>
      <c r="D592" s="1"/>
      <c r="E592" s="1"/>
      <c r="F592" s="1"/>
    </row>
    <row r="593" spans="1:6" ht="15.75" customHeight="1" x14ac:dyDescent="0.35">
      <c r="A593" s="1"/>
      <c r="B593" s="1"/>
      <c r="C593" s="1"/>
      <c r="D593" s="1"/>
      <c r="E593" s="1"/>
      <c r="F593" s="1"/>
    </row>
    <row r="594" spans="1:6" ht="15.75" customHeight="1" x14ac:dyDescent="0.35">
      <c r="A594" s="1"/>
      <c r="B594" s="1"/>
      <c r="C594" s="1"/>
      <c r="D594" s="1"/>
      <c r="E594" s="1"/>
      <c r="F594" s="1"/>
    </row>
    <row r="595" spans="1:6" ht="15.75" customHeight="1" x14ac:dyDescent="0.35">
      <c r="A595" s="1"/>
      <c r="B595" s="1"/>
      <c r="C595" s="1"/>
      <c r="D595" s="1"/>
      <c r="E595" s="1"/>
      <c r="F595" s="1"/>
    </row>
    <row r="596" spans="1:6" ht="15.75" customHeight="1" x14ac:dyDescent="0.35">
      <c r="A596" s="1"/>
      <c r="B596" s="1"/>
      <c r="C596" s="1"/>
      <c r="D596" s="1"/>
      <c r="E596" s="1"/>
      <c r="F596" s="1"/>
    </row>
    <row r="597" spans="1:6" ht="15.75" customHeight="1" x14ac:dyDescent="0.35">
      <c r="A597" s="1"/>
      <c r="B597" s="1"/>
      <c r="C597" s="1"/>
      <c r="D597" s="1"/>
      <c r="E597" s="1"/>
      <c r="F597" s="1"/>
    </row>
    <row r="598" spans="1:6" ht="15.75" customHeight="1" x14ac:dyDescent="0.35">
      <c r="A598" s="1"/>
      <c r="B598" s="1"/>
      <c r="C598" s="1"/>
      <c r="D598" s="1"/>
      <c r="E598" s="1"/>
      <c r="F598" s="1"/>
    </row>
    <row r="599" spans="1:6" ht="15.75" customHeight="1" x14ac:dyDescent="0.35">
      <c r="A599" s="1"/>
      <c r="B599" s="1"/>
      <c r="C599" s="1"/>
      <c r="D599" s="1"/>
      <c r="E599" s="1"/>
      <c r="F599" s="1"/>
    </row>
    <row r="600" spans="1:6" ht="15.75" customHeight="1" x14ac:dyDescent="0.35">
      <c r="A600" s="1"/>
      <c r="B600" s="1"/>
      <c r="C600" s="1"/>
      <c r="D600" s="1"/>
      <c r="E600" s="1"/>
      <c r="F600" s="1"/>
    </row>
    <row r="601" spans="1:6" ht="15.75" customHeight="1" x14ac:dyDescent="0.35">
      <c r="A601" s="1"/>
      <c r="B601" s="1"/>
      <c r="C601" s="1"/>
      <c r="D601" s="1"/>
      <c r="E601" s="1"/>
      <c r="F601" s="1"/>
    </row>
    <row r="602" spans="1:6" ht="15.75" customHeight="1" x14ac:dyDescent="0.35">
      <c r="A602" s="1"/>
      <c r="B602" s="1"/>
      <c r="C602" s="1"/>
      <c r="D602" s="1"/>
      <c r="E602" s="1"/>
      <c r="F602" s="1"/>
    </row>
    <row r="603" spans="1:6" ht="15.75" customHeight="1" x14ac:dyDescent="0.35">
      <c r="A603" s="1"/>
      <c r="B603" s="1"/>
      <c r="C603" s="1"/>
      <c r="D603" s="1"/>
      <c r="E603" s="1"/>
      <c r="F603" s="1"/>
    </row>
    <row r="604" spans="1:6" ht="15.75" customHeight="1" x14ac:dyDescent="0.35">
      <c r="A604" s="1"/>
      <c r="B604" s="1"/>
      <c r="C604" s="1"/>
      <c r="D604" s="1"/>
      <c r="E604" s="1"/>
      <c r="F604" s="1"/>
    </row>
    <row r="605" spans="1:6" ht="15.75" customHeight="1" x14ac:dyDescent="0.35">
      <c r="A605" s="1"/>
      <c r="B605" s="1"/>
      <c r="C605" s="1"/>
      <c r="D605" s="1"/>
      <c r="E605" s="1"/>
      <c r="F605" s="1"/>
    </row>
    <row r="606" spans="1:6" ht="15.75" customHeight="1" x14ac:dyDescent="0.35">
      <c r="A606" s="1"/>
      <c r="B606" s="1"/>
      <c r="C606" s="1"/>
      <c r="D606" s="1"/>
      <c r="E606" s="1"/>
      <c r="F606" s="1"/>
    </row>
    <row r="607" spans="1:6" ht="15.75" customHeight="1" x14ac:dyDescent="0.35">
      <c r="A607" s="1"/>
      <c r="B607" s="1"/>
      <c r="C607" s="1"/>
      <c r="D607" s="1"/>
      <c r="E607" s="1"/>
      <c r="F607" s="1"/>
    </row>
    <row r="608" spans="1:6" ht="15.75" customHeight="1" x14ac:dyDescent="0.35">
      <c r="A608" s="1"/>
      <c r="B608" s="1"/>
      <c r="C608" s="1"/>
      <c r="D608" s="1"/>
      <c r="E608" s="1"/>
      <c r="F608" s="1"/>
    </row>
    <row r="609" spans="1:6" ht="15.75" customHeight="1" x14ac:dyDescent="0.35">
      <c r="A609" s="1"/>
      <c r="B609" s="1"/>
      <c r="C609" s="1"/>
      <c r="D609" s="1"/>
      <c r="E609" s="1"/>
      <c r="F609" s="1"/>
    </row>
    <row r="610" spans="1:6" ht="15.75" customHeight="1" x14ac:dyDescent="0.35">
      <c r="A610" s="1"/>
      <c r="B610" s="1"/>
      <c r="C610" s="1"/>
      <c r="D610" s="1"/>
      <c r="E610" s="1"/>
      <c r="F610" s="1"/>
    </row>
    <row r="611" spans="1:6" ht="15.75" customHeight="1" x14ac:dyDescent="0.35">
      <c r="A611" s="1"/>
      <c r="B611" s="1"/>
      <c r="C611" s="1"/>
      <c r="D611" s="1"/>
      <c r="E611" s="1"/>
      <c r="F611" s="1"/>
    </row>
    <row r="612" spans="1:6" ht="15.75" customHeight="1" x14ac:dyDescent="0.35">
      <c r="A612" s="1"/>
      <c r="B612" s="1"/>
      <c r="C612" s="1"/>
      <c r="D612" s="1"/>
      <c r="E612" s="1"/>
      <c r="F612" s="1"/>
    </row>
    <row r="613" spans="1:6" ht="15.75" customHeight="1" x14ac:dyDescent="0.35">
      <c r="A613" s="1"/>
      <c r="B613" s="1"/>
      <c r="C613" s="1"/>
      <c r="D613" s="1"/>
      <c r="E613" s="1"/>
      <c r="F613" s="1"/>
    </row>
    <row r="614" spans="1:6" ht="15.75" customHeight="1" x14ac:dyDescent="0.35">
      <c r="A614" s="1"/>
      <c r="B614" s="1"/>
      <c r="C614" s="1"/>
      <c r="D614" s="1"/>
      <c r="E614" s="1"/>
      <c r="F614" s="1"/>
    </row>
    <row r="615" spans="1:6" ht="15.75" customHeight="1" x14ac:dyDescent="0.35">
      <c r="A615" s="1"/>
      <c r="B615" s="1"/>
      <c r="C615" s="1"/>
      <c r="D615" s="1"/>
      <c r="E615" s="1"/>
      <c r="F615" s="1"/>
    </row>
    <row r="616" spans="1:6" ht="15.75" customHeight="1" x14ac:dyDescent="0.35">
      <c r="A616" s="1"/>
      <c r="B616" s="1"/>
      <c r="C616" s="1"/>
      <c r="D616" s="1"/>
      <c r="E616" s="1"/>
      <c r="F616" s="1"/>
    </row>
    <row r="617" spans="1:6" ht="15.75" customHeight="1" x14ac:dyDescent="0.35">
      <c r="A617" s="1"/>
      <c r="B617" s="1"/>
      <c r="C617" s="1"/>
      <c r="D617" s="1"/>
      <c r="E617" s="1"/>
      <c r="F617" s="1"/>
    </row>
    <row r="618" spans="1:6" ht="15.75" customHeight="1" x14ac:dyDescent="0.35">
      <c r="A618" s="1"/>
      <c r="B618" s="1"/>
      <c r="C618" s="1"/>
      <c r="D618" s="1"/>
      <c r="E618" s="1"/>
      <c r="F618" s="1"/>
    </row>
    <row r="619" spans="1:6" ht="15.75" customHeight="1" x14ac:dyDescent="0.35">
      <c r="A619" s="1"/>
      <c r="B619" s="1"/>
      <c r="C619" s="1"/>
      <c r="D619" s="1"/>
      <c r="E619" s="1"/>
      <c r="F619" s="1"/>
    </row>
    <row r="620" spans="1:6" ht="15.75" customHeight="1" x14ac:dyDescent="0.35">
      <c r="A620" s="1"/>
      <c r="B620" s="1"/>
      <c r="C620" s="1"/>
      <c r="D620" s="1"/>
      <c r="E620" s="1"/>
      <c r="F620" s="1"/>
    </row>
    <row r="621" spans="1:6" ht="15.75" customHeight="1" x14ac:dyDescent="0.35">
      <c r="A621" s="1"/>
      <c r="B621" s="1"/>
      <c r="C621" s="1"/>
      <c r="D621" s="1"/>
      <c r="E621" s="1"/>
      <c r="F621" s="1"/>
    </row>
    <row r="622" spans="1:6" ht="15.75" customHeight="1" x14ac:dyDescent="0.35">
      <c r="A622" s="1"/>
      <c r="B622" s="1"/>
      <c r="C622" s="1"/>
      <c r="D622" s="1"/>
      <c r="E622" s="1"/>
      <c r="F622" s="1"/>
    </row>
    <row r="623" spans="1:6" ht="15.75" customHeight="1" x14ac:dyDescent="0.35">
      <c r="A623" s="1"/>
      <c r="B623" s="1"/>
      <c r="C623" s="1"/>
      <c r="D623" s="1"/>
      <c r="E623" s="1"/>
      <c r="F623" s="1"/>
    </row>
    <row r="624" spans="1:6" ht="15.75" customHeight="1" x14ac:dyDescent="0.35">
      <c r="A624" s="1"/>
      <c r="B624" s="1"/>
      <c r="C624" s="1"/>
      <c r="D624" s="1"/>
      <c r="E624" s="1"/>
      <c r="F624" s="1"/>
    </row>
    <row r="625" spans="1:6" ht="15.75" customHeight="1" x14ac:dyDescent="0.35">
      <c r="A625" s="1"/>
      <c r="B625" s="1"/>
      <c r="C625" s="1"/>
      <c r="D625" s="1"/>
      <c r="E625" s="1"/>
      <c r="F625" s="1"/>
    </row>
    <row r="626" spans="1:6" ht="15.75" customHeight="1" x14ac:dyDescent="0.35">
      <c r="A626" s="1"/>
      <c r="B626" s="1"/>
      <c r="C626" s="1"/>
      <c r="D626" s="1"/>
      <c r="E626" s="1"/>
      <c r="F626" s="1"/>
    </row>
    <row r="627" spans="1:6" ht="15.75" customHeight="1" x14ac:dyDescent="0.35">
      <c r="A627" s="1"/>
      <c r="B627" s="1"/>
      <c r="C627" s="1"/>
      <c r="D627" s="1"/>
      <c r="E627" s="1"/>
      <c r="F627" s="1"/>
    </row>
    <row r="628" spans="1:6" ht="15.75" customHeight="1" x14ac:dyDescent="0.35">
      <c r="A628" s="1"/>
      <c r="B628" s="1"/>
      <c r="C628" s="1"/>
      <c r="D628" s="1"/>
      <c r="E628" s="1"/>
      <c r="F628" s="1"/>
    </row>
    <row r="629" spans="1:6" ht="15.75" customHeight="1" x14ac:dyDescent="0.35">
      <c r="A629" s="1"/>
      <c r="B629" s="1"/>
      <c r="C629" s="1"/>
      <c r="D629" s="1"/>
      <c r="E629" s="1"/>
      <c r="F629" s="1"/>
    </row>
    <row r="630" spans="1:6" ht="15.75" customHeight="1" x14ac:dyDescent="0.35">
      <c r="A630" s="1"/>
      <c r="B630" s="1"/>
      <c r="C630" s="1"/>
      <c r="D630" s="1"/>
      <c r="E630" s="1"/>
      <c r="F630" s="1"/>
    </row>
    <row r="631" spans="1:6" ht="15.75" customHeight="1" x14ac:dyDescent="0.35">
      <c r="A631" s="1"/>
      <c r="B631" s="1"/>
      <c r="C631" s="1"/>
      <c r="D631" s="1"/>
      <c r="E631" s="1"/>
      <c r="F631" s="1"/>
    </row>
    <row r="632" spans="1:6" ht="15.75" customHeight="1" x14ac:dyDescent="0.35">
      <c r="A632" s="1"/>
      <c r="B632" s="1"/>
      <c r="C632" s="1"/>
      <c r="D632" s="1"/>
      <c r="E632" s="1"/>
      <c r="F632" s="1"/>
    </row>
    <row r="633" spans="1:6" ht="15.75" customHeight="1" x14ac:dyDescent="0.35">
      <c r="A633" s="1"/>
      <c r="B633" s="1"/>
      <c r="C633" s="1"/>
      <c r="D633" s="1"/>
      <c r="E633" s="1"/>
      <c r="F633" s="1"/>
    </row>
    <row r="634" spans="1:6" ht="15.75" customHeight="1" x14ac:dyDescent="0.35">
      <c r="A634" s="1"/>
      <c r="B634" s="1"/>
      <c r="C634" s="1"/>
      <c r="D634" s="1"/>
      <c r="E634" s="1"/>
      <c r="F634" s="1"/>
    </row>
    <row r="635" spans="1:6" ht="15.75" customHeight="1" x14ac:dyDescent="0.35">
      <c r="A635" s="1"/>
      <c r="B635" s="1"/>
      <c r="C635" s="1"/>
      <c r="D635" s="1"/>
      <c r="E635" s="1"/>
      <c r="F635" s="1"/>
    </row>
    <row r="636" spans="1:6" ht="15.75" customHeight="1" x14ac:dyDescent="0.35">
      <c r="A636" s="1"/>
      <c r="B636" s="1"/>
      <c r="C636" s="1"/>
      <c r="D636" s="1"/>
      <c r="E636" s="1"/>
      <c r="F636" s="1"/>
    </row>
    <row r="637" spans="1:6" ht="15.75" customHeight="1" x14ac:dyDescent="0.35">
      <c r="A637" s="1"/>
      <c r="B637" s="1"/>
      <c r="C637" s="1"/>
      <c r="D637" s="1"/>
      <c r="E637" s="1"/>
      <c r="F637" s="1"/>
    </row>
    <row r="638" spans="1:6" ht="15.75" customHeight="1" x14ac:dyDescent="0.35">
      <c r="A638" s="1"/>
      <c r="B638" s="1"/>
      <c r="C638" s="1"/>
      <c r="D638" s="1"/>
      <c r="E638" s="1"/>
      <c r="F638" s="1"/>
    </row>
    <row r="639" spans="1:6" ht="15.75" customHeight="1" x14ac:dyDescent="0.35">
      <c r="A639" s="1"/>
      <c r="B639" s="1"/>
      <c r="C639" s="1"/>
      <c r="D639" s="1"/>
      <c r="E639" s="1"/>
      <c r="F639" s="1"/>
    </row>
    <row r="640" spans="1:6" ht="15.75" customHeight="1" x14ac:dyDescent="0.35">
      <c r="A640" s="1"/>
      <c r="B640" s="1"/>
      <c r="C640" s="1"/>
      <c r="D640" s="1"/>
      <c r="E640" s="1"/>
      <c r="F640" s="1"/>
    </row>
    <row r="641" spans="1:6" ht="15.75" customHeight="1" x14ac:dyDescent="0.35">
      <c r="A641" s="1"/>
      <c r="B641" s="1"/>
      <c r="C641" s="1"/>
      <c r="D641" s="1"/>
      <c r="E641" s="1"/>
      <c r="F641" s="1"/>
    </row>
    <row r="642" spans="1:6" ht="15.75" customHeight="1" x14ac:dyDescent="0.35">
      <c r="A642" s="1"/>
      <c r="B642" s="1"/>
      <c r="C642" s="1"/>
      <c r="D642" s="1"/>
      <c r="E642" s="1"/>
      <c r="F642" s="1"/>
    </row>
    <row r="643" spans="1:6" ht="15.75" customHeight="1" x14ac:dyDescent="0.35">
      <c r="A643" s="1"/>
      <c r="B643" s="1"/>
      <c r="C643" s="1"/>
      <c r="D643" s="1"/>
      <c r="E643" s="1"/>
      <c r="F643" s="1"/>
    </row>
    <row r="644" spans="1:6" ht="15.75" customHeight="1" x14ac:dyDescent="0.35">
      <c r="A644" s="1"/>
      <c r="B644" s="1"/>
      <c r="C644" s="1"/>
      <c r="D644" s="1"/>
      <c r="E644" s="1"/>
      <c r="F644" s="1"/>
    </row>
    <row r="645" spans="1:6" ht="15.75" customHeight="1" x14ac:dyDescent="0.35">
      <c r="A645" s="1"/>
      <c r="B645" s="1"/>
      <c r="C645" s="1"/>
      <c r="D645" s="1"/>
      <c r="E645" s="1"/>
      <c r="F645" s="1"/>
    </row>
    <row r="646" spans="1:6" ht="15.75" customHeight="1" x14ac:dyDescent="0.35">
      <c r="A646" s="1"/>
      <c r="B646" s="1"/>
      <c r="C646" s="1"/>
      <c r="D646" s="1"/>
      <c r="E646" s="1"/>
      <c r="F646" s="1"/>
    </row>
    <row r="647" spans="1:6" ht="15.75" customHeight="1" x14ac:dyDescent="0.35">
      <c r="A647" s="1"/>
      <c r="B647" s="1"/>
      <c r="C647" s="1"/>
      <c r="D647" s="1"/>
      <c r="E647" s="1"/>
      <c r="F647" s="1"/>
    </row>
    <row r="648" spans="1:6" ht="15.75" customHeight="1" x14ac:dyDescent="0.35">
      <c r="A648" s="1"/>
      <c r="B648" s="1"/>
      <c r="C648" s="1"/>
      <c r="D648" s="1"/>
      <c r="E648" s="1"/>
      <c r="F648" s="1"/>
    </row>
    <row r="649" spans="1:6" ht="15.75" customHeight="1" x14ac:dyDescent="0.35">
      <c r="A649" s="1"/>
      <c r="B649" s="1"/>
      <c r="C649" s="1"/>
      <c r="D649" s="1"/>
      <c r="E649" s="1"/>
      <c r="F649" s="1"/>
    </row>
    <row r="650" spans="1:6" ht="15.75" customHeight="1" x14ac:dyDescent="0.35">
      <c r="A650" s="1"/>
      <c r="B650" s="1"/>
      <c r="C650" s="1"/>
      <c r="D650" s="1"/>
      <c r="E650" s="1"/>
      <c r="F650" s="1"/>
    </row>
    <row r="651" spans="1:6" ht="15.75" customHeight="1" x14ac:dyDescent="0.35">
      <c r="A651" s="1"/>
      <c r="B651" s="1"/>
      <c r="C651" s="1"/>
      <c r="D651" s="1"/>
      <c r="E651" s="1"/>
      <c r="F651" s="1"/>
    </row>
    <row r="652" spans="1:6" ht="15.75" customHeight="1" x14ac:dyDescent="0.35">
      <c r="A652" s="1"/>
      <c r="B652" s="1"/>
      <c r="C652" s="1"/>
      <c r="D652" s="1"/>
      <c r="E652" s="1"/>
      <c r="F652" s="1"/>
    </row>
    <row r="653" spans="1:6" ht="15.75" customHeight="1" x14ac:dyDescent="0.35">
      <c r="A653" s="1"/>
      <c r="B653" s="1"/>
      <c r="C653" s="1"/>
      <c r="D653" s="1"/>
      <c r="E653" s="1"/>
      <c r="F653" s="1"/>
    </row>
    <row r="654" spans="1:6" ht="15.75" customHeight="1" x14ac:dyDescent="0.35">
      <c r="A654" s="1"/>
      <c r="B654" s="1"/>
      <c r="C654" s="1"/>
      <c r="D654" s="1"/>
      <c r="E654" s="1"/>
      <c r="F654" s="1"/>
    </row>
    <row r="655" spans="1:6" ht="15.75" customHeight="1" x14ac:dyDescent="0.35">
      <c r="A655" s="1"/>
      <c r="B655" s="1"/>
      <c r="C655" s="1"/>
      <c r="D655" s="1"/>
      <c r="E655" s="1"/>
      <c r="F655" s="1"/>
    </row>
    <row r="656" spans="1:6" ht="15.75" customHeight="1" x14ac:dyDescent="0.35">
      <c r="A656" s="1"/>
      <c r="B656" s="1"/>
      <c r="C656" s="1"/>
      <c r="D656" s="1"/>
      <c r="E656" s="1"/>
      <c r="F656" s="1"/>
    </row>
    <row r="657" spans="1:6" ht="15.75" customHeight="1" x14ac:dyDescent="0.35">
      <c r="A657" s="1"/>
      <c r="B657" s="1"/>
      <c r="C657" s="1"/>
      <c r="D657" s="1"/>
      <c r="E657" s="1"/>
      <c r="F657" s="1"/>
    </row>
    <row r="658" spans="1:6" ht="15.75" customHeight="1" x14ac:dyDescent="0.35">
      <c r="A658" s="1"/>
      <c r="B658" s="1"/>
      <c r="C658" s="1"/>
      <c r="D658" s="1"/>
      <c r="E658" s="1"/>
      <c r="F658" s="1"/>
    </row>
    <row r="659" spans="1:6" ht="15.75" customHeight="1" x14ac:dyDescent="0.35">
      <c r="A659" s="1"/>
      <c r="B659" s="1"/>
      <c r="C659" s="1"/>
      <c r="D659" s="1"/>
      <c r="E659" s="1"/>
      <c r="F659" s="1"/>
    </row>
    <row r="660" spans="1:6" ht="15.75" customHeight="1" x14ac:dyDescent="0.35">
      <c r="A660" s="1"/>
      <c r="B660" s="1"/>
      <c r="C660" s="1"/>
      <c r="D660" s="1"/>
      <c r="E660" s="1"/>
      <c r="F660" s="1"/>
    </row>
    <row r="661" spans="1:6" ht="15.75" customHeight="1" x14ac:dyDescent="0.35">
      <c r="A661" s="1"/>
      <c r="B661" s="1"/>
      <c r="C661" s="1"/>
      <c r="D661" s="1"/>
      <c r="E661" s="1"/>
      <c r="F661" s="1"/>
    </row>
    <row r="662" spans="1:6" ht="15.75" customHeight="1" x14ac:dyDescent="0.35">
      <c r="A662" s="1"/>
      <c r="B662" s="1"/>
      <c r="C662" s="1"/>
      <c r="D662" s="1"/>
      <c r="E662" s="1"/>
      <c r="F662" s="1"/>
    </row>
    <row r="663" spans="1:6" ht="15.75" customHeight="1" x14ac:dyDescent="0.35">
      <c r="A663" s="1"/>
      <c r="B663" s="1"/>
      <c r="C663" s="1"/>
      <c r="D663" s="1"/>
      <c r="E663" s="1"/>
      <c r="F663" s="1"/>
    </row>
    <row r="664" spans="1:6" ht="15.75" customHeight="1" x14ac:dyDescent="0.35">
      <c r="A664" s="1"/>
      <c r="B664" s="1"/>
      <c r="C664" s="1"/>
      <c r="D664" s="1"/>
      <c r="E664" s="1"/>
      <c r="F664" s="1"/>
    </row>
    <row r="665" spans="1:6" ht="15.75" customHeight="1" x14ac:dyDescent="0.35">
      <c r="A665" s="1"/>
      <c r="B665" s="1"/>
      <c r="C665" s="1"/>
      <c r="D665" s="1"/>
      <c r="E665" s="1"/>
      <c r="F665" s="1"/>
    </row>
    <row r="666" spans="1:6" ht="15.75" customHeight="1" x14ac:dyDescent="0.35">
      <c r="A666" s="1"/>
      <c r="B666" s="1"/>
      <c r="C666" s="1"/>
      <c r="D666" s="1"/>
      <c r="E666" s="1"/>
      <c r="F666" s="1"/>
    </row>
    <row r="667" spans="1:6" ht="15.75" customHeight="1" x14ac:dyDescent="0.35">
      <c r="A667" s="1"/>
      <c r="B667" s="1"/>
      <c r="C667" s="1"/>
      <c r="D667" s="1"/>
      <c r="E667" s="1"/>
      <c r="F667" s="1"/>
    </row>
    <row r="668" spans="1:6" ht="15.75" customHeight="1" x14ac:dyDescent="0.35">
      <c r="A668" s="1"/>
      <c r="B668" s="1"/>
      <c r="C668" s="1"/>
      <c r="D668" s="1"/>
      <c r="E668" s="1"/>
      <c r="F668" s="1"/>
    </row>
    <row r="669" spans="1:6" ht="15.75" customHeight="1" x14ac:dyDescent="0.35">
      <c r="A669" s="1"/>
      <c r="B669" s="1"/>
      <c r="C669" s="1"/>
      <c r="D669" s="1"/>
      <c r="E669" s="1"/>
      <c r="F669" s="1"/>
    </row>
    <row r="670" spans="1:6" ht="15.75" customHeight="1" x14ac:dyDescent="0.35">
      <c r="A670" s="1"/>
      <c r="B670" s="1"/>
      <c r="C670" s="1"/>
      <c r="D670" s="1"/>
      <c r="E670" s="1"/>
      <c r="F670" s="1"/>
    </row>
    <row r="671" spans="1:6" ht="15.75" customHeight="1" x14ac:dyDescent="0.35">
      <c r="A671" s="1"/>
      <c r="B671" s="1"/>
      <c r="C671" s="1"/>
      <c r="D671" s="1"/>
      <c r="E671" s="1"/>
      <c r="F671" s="1"/>
    </row>
    <row r="672" spans="1:6" ht="15.75" customHeight="1" x14ac:dyDescent="0.35">
      <c r="A672" s="1"/>
      <c r="B672" s="1"/>
      <c r="C672" s="1"/>
      <c r="D672" s="1"/>
      <c r="E672" s="1"/>
      <c r="F672" s="1"/>
    </row>
    <row r="673" spans="1:6" ht="15.75" customHeight="1" x14ac:dyDescent="0.35">
      <c r="A673" s="1"/>
      <c r="B673" s="1"/>
      <c r="C673" s="1"/>
      <c r="D673" s="1"/>
      <c r="E673" s="1"/>
      <c r="F673" s="1"/>
    </row>
    <row r="674" spans="1:6" ht="15.75" customHeight="1" x14ac:dyDescent="0.35">
      <c r="A674" s="1"/>
      <c r="B674" s="1"/>
      <c r="C674" s="1"/>
      <c r="D674" s="1"/>
      <c r="E674" s="1"/>
      <c r="F674" s="1"/>
    </row>
    <row r="675" spans="1:6" ht="15.75" customHeight="1" x14ac:dyDescent="0.35">
      <c r="A675" s="1"/>
      <c r="B675" s="1"/>
      <c r="C675" s="1"/>
      <c r="D675" s="1"/>
      <c r="E675" s="1"/>
      <c r="F675" s="1"/>
    </row>
    <row r="676" spans="1:6" ht="15.75" customHeight="1" x14ac:dyDescent="0.35">
      <c r="A676" s="1"/>
      <c r="B676" s="1"/>
      <c r="C676" s="1"/>
      <c r="D676" s="1"/>
      <c r="E676" s="1"/>
      <c r="F676" s="1"/>
    </row>
    <row r="677" spans="1:6" ht="15.75" customHeight="1" x14ac:dyDescent="0.35">
      <c r="A677" s="1"/>
      <c r="B677" s="1"/>
      <c r="C677" s="1"/>
      <c r="D677" s="1"/>
      <c r="E677" s="1"/>
      <c r="F677" s="1"/>
    </row>
    <row r="678" spans="1:6" ht="15.75" customHeight="1" x14ac:dyDescent="0.35">
      <c r="A678" s="1"/>
      <c r="B678" s="1"/>
      <c r="C678" s="1"/>
      <c r="D678" s="1"/>
      <c r="E678" s="1"/>
      <c r="F678" s="1"/>
    </row>
    <row r="679" spans="1:6" ht="15.75" customHeight="1" x14ac:dyDescent="0.35">
      <c r="A679" s="1"/>
      <c r="B679" s="1"/>
      <c r="C679" s="1"/>
      <c r="D679" s="1"/>
      <c r="E679" s="1"/>
      <c r="F679" s="1"/>
    </row>
    <row r="680" spans="1:6" ht="15.75" customHeight="1" x14ac:dyDescent="0.35">
      <c r="A680" s="1"/>
      <c r="B680" s="1"/>
      <c r="C680" s="1"/>
      <c r="D680" s="1"/>
      <c r="E680" s="1"/>
      <c r="F680" s="1"/>
    </row>
    <row r="681" spans="1:6" ht="15.75" customHeight="1" x14ac:dyDescent="0.35">
      <c r="A681" s="1"/>
      <c r="B681" s="1"/>
      <c r="C681" s="1"/>
      <c r="D681" s="1"/>
      <c r="E681" s="1"/>
      <c r="F681" s="1"/>
    </row>
    <row r="682" spans="1:6" ht="15.75" customHeight="1" x14ac:dyDescent="0.35">
      <c r="A682" s="1"/>
      <c r="B682" s="1"/>
      <c r="C682" s="1"/>
      <c r="D682" s="1"/>
      <c r="E682" s="1"/>
      <c r="F682" s="1"/>
    </row>
    <row r="683" spans="1:6" ht="15.75" customHeight="1" x14ac:dyDescent="0.35">
      <c r="A683" s="1"/>
      <c r="B683" s="1"/>
      <c r="C683" s="1"/>
      <c r="D683" s="1"/>
      <c r="E683" s="1"/>
      <c r="F683" s="1"/>
    </row>
    <row r="684" spans="1:6" ht="15.75" customHeight="1" x14ac:dyDescent="0.35">
      <c r="A684" s="1"/>
      <c r="B684" s="1"/>
      <c r="C684" s="1"/>
      <c r="D684" s="1"/>
      <c r="E684" s="1"/>
      <c r="F684" s="1"/>
    </row>
    <row r="685" spans="1:6" ht="15.75" customHeight="1" x14ac:dyDescent="0.35">
      <c r="A685" s="1"/>
      <c r="B685" s="1"/>
      <c r="C685" s="1"/>
      <c r="D685" s="1"/>
      <c r="E685" s="1"/>
      <c r="F685" s="1"/>
    </row>
    <row r="686" spans="1:6" ht="15.75" customHeight="1" x14ac:dyDescent="0.35">
      <c r="A686" s="1"/>
      <c r="B686" s="1"/>
      <c r="C686" s="1"/>
      <c r="D686" s="1"/>
      <c r="E686" s="1"/>
      <c r="F686" s="1"/>
    </row>
    <row r="687" spans="1:6" ht="15.75" customHeight="1" x14ac:dyDescent="0.35">
      <c r="A687" s="1"/>
      <c r="B687" s="1"/>
      <c r="C687" s="1"/>
      <c r="D687" s="1"/>
      <c r="E687" s="1"/>
      <c r="F687" s="1"/>
    </row>
    <row r="688" spans="1:6" ht="15.75" customHeight="1" x14ac:dyDescent="0.35">
      <c r="A688" s="1"/>
      <c r="B688" s="1"/>
      <c r="C688" s="1"/>
      <c r="D688" s="1"/>
      <c r="E688" s="1"/>
      <c r="F688" s="1"/>
    </row>
    <row r="689" spans="1:6" ht="15.75" customHeight="1" x14ac:dyDescent="0.35">
      <c r="A689" s="1"/>
      <c r="B689" s="1"/>
      <c r="C689" s="1"/>
      <c r="D689" s="1"/>
      <c r="E689" s="1"/>
      <c r="F689" s="1"/>
    </row>
    <row r="690" spans="1:6" ht="15.75" customHeight="1" x14ac:dyDescent="0.35">
      <c r="A690" s="1"/>
      <c r="B690" s="1"/>
      <c r="C690" s="1"/>
      <c r="D690" s="1"/>
      <c r="E690" s="1"/>
      <c r="F690" s="1"/>
    </row>
    <row r="691" spans="1:6" ht="15.75" customHeight="1" x14ac:dyDescent="0.35">
      <c r="A691" s="1"/>
      <c r="B691" s="1"/>
      <c r="C691" s="1"/>
      <c r="D691" s="1"/>
      <c r="E691" s="1"/>
      <c r="F691" s="1"/>
    </row>
    <row r="692" spans="1:6" ht="15.75" customHeight="1" x14ac:dyDescent="0.35">
      <c r="A692" s="1"/>
      <c r="B692" s="1"/>
      <c r="C692" s="1"/>
      <c r="D692" s="1"/>
      <c r="E692" s="1"/>
      <c r="F692" s="1"/>
    </row>
    <row r="693" spans="1:6" ht="15.75" customHeight="1" x14ac:dyDescent="0.35">
      <c r="A693" s="1"/>
      <c r="B693" s="1"/>
      <c r="C693" s="1"/>
      <c r="D693" s="1"/>
      <c r="E693" s="1"/>
      <c r="F693" s="1"/>
    </row>
    <row r="694" spans="1:6" ht="15.75" customHeight="1" x14ac:dyDescent="0.35">
      <c r="A694" s="1"/>
      <c r="B694" s="1"/>
      <c r="C694" s="1"/>
      <c r="D694" s="1"/>
      <c r="E694" s="1"/>
      <c r="F694" s="1"/>
    </row>
    <row r="695" spans="1:6" ht="15.75" customHeight="1" x14ac:dyDescent="0.35">
      <c r="A695" s="1"/>
      <c r="B695" s="1"/>
      <c r="C695" s="1"/>
      <c r="D695" s="1"/>
      <c r="E695" s="1"/>
      <c r="F695" s="1"/>
    </row>
    <row r="696" spans="1:6" ht="15.75" customHeight="1" x14ac:dyDescent="0.35">
      <c r="A696" s="1"/>
      <c r="B696" s="1"/>
      <c r="C696" s="1"/>
      <c r="D696" s="1"/>
      <c r="E696" s="1"/>
      <c r="F696" s="1"/>
    </row>
    <row r="697" spans="1:6" ht="15.75" customHeight="1" x14ac:dyDescent="0.35">
      <c r="A697" s="1"/>
      <c r="B697" s="1"/>
      <c r="C697" s="1"/>
      <c r="D697" s="1"/>
      <c r="E697" s="1"/>
      <c r="F697" s="1"/>
    </row>
    <row r="698" spans="1:6" ht="15.75" customHeight="1" x14ac:dyDescent="0.35">
      <c r="A698" s="1"/>
      <c r="B698" s="1"/>
      <c r="C698" s="1"/>
      <c r="D698" s="1"/>
      <c r="E698" s="1"/>
      <c r="F698" s="1"/>
    </row>
    <row r="699" spans="1:6" ht="15.75" customHeight="1" x14ac:dyDescent="0.35">
      <c r="A699" s="1"/>
      <c r="B699" s="1"/>
      <c r="C699" s="1"/>
      <c r="D699" s="1"/>
      <c r="E699" s="1"/>
      <c r="F699" s="1"/>
    </row>
    <row r="700" spans="1:6" ht="15.75" customHeight="1" x14ac:dyDescent="0.35">
      <c r="A700" s="1"/>
      <c r="B700" s="1"/>
      <c r="C700" s="1"/>
      <c r="D700" s="1"/>
      <c r="E700" s="1"/>
      <c r="F700" s="1"/>
    </row>
    <row r="701" spans="1:6" ht="15.75" customHeight="1" x14ac:dyDescent="0.35">
      <c r="A701" s="1"/>
      <c r="B701" s="1"/>
      <c r="C701" s="1"/>
      <c r="D701" s="1"/>
      <c r="E701" s="1"/>
      <c r="F701" s="1"/>
    </row>
    <row r="702" spans="1:6" ht="15.75" customHeight="1" x14ac:dyDescent="0.35">
      <c r="A702" s="1"/>
      <c r="B702" s="1"/>
      <c r="C702" s="1"/>
      <c r="D702" s="1"/>
      <c r="E702" s="1"/>
      <c r="F702" s="1"/>
    </row>
    <row r="703" spans="1:6" ht="15.75" customHeight="1" x14ac:dyDescent="0.35">
      <c r="A703" s="1"/>
      <c r="B703" s="1"/>
      <c r="C703" s="1"/>
      <c r="D703" s="1"/>
      <c r="E703" s="1"/>
      <c r="F703" s="1"/>
    </row>
    <row r="704" spans="1:6" ht="15.75" customHeight="1" x14ac:dyDescent="0.35">
      <c r="A704" s="1"/>
      <c r="B704" s="1"/>
      <c r="C704" s="1"/>
      <c r="D704" s="1"/>
      <c r="E704" s="1"/>
      <c r="F704" s="1"/>
    </row>
    <row r="705" spans="1:6" ht="15.75" customHeight="1" x14ac:dyDescent="0.35">
      <c r="A705" s="1"/>
      <c r="B705" s="1"/>
      <c r="C705" s="1"/>
      <c r="D705" s="1"/>
      <c r="E705" s="1"/>
      <c r="F705" s="1"/>
    </row>
    <row r="706" spans="1:6" ht="15.75" customHeight="1" x14ac:dyDescent="0.35">
      <c r="A706" s="1"/>
      <c r="B706" s="1"/>
      <c r="C706" s="1"/>
      <c r="D706" s="1"/>
      <c r="E706" s="1"/>
      <c r="F706" s="1"/>
    </row>
    <row r="707" spans="1:6" ht="15.75" customHeight="1" x14ac:dyDescent="0.35">
      <c r="A707" s="1"/>
      <c r="B707" s="1"/>
      <c r="C707" s="1"/>
      <c r="D707" s="1"/>
      <c r="E707" s="1"/>
      <c r="F707" s="1"/>
    </row>
    <row r="708" spans="1:6" ht="15.75" customHeight="1" x14ac:dyDescent="0.35">
      <c r="A708" s="1"/>
      <c r="B708" s="1"/>
      <c r="C708" s="1"/>
      <c r="D708" s="1"/>
      <c r="E708" s="1"/>
      <c r="F708" s="1"/>
    </row>
    <row r="709" spans="1:6" ht="15.75" customHeight="1" x14ac:dyDescent="0.35">
      <c r="A709" s="1"/>
      <c r="B709" s="1"/>
      <c r="C709" s="1"/>
      <c r="D709" s="1"/>
      <c r="E709" s="1"/>
      <c r="F709" s="1"/>
    </row>
    <row r="710" spans="1:6" ht="15.75" customHeight="1" x14ac:dyDescent="0.35">
      <c r="A710" s="1"/>
      <c r="B710" s="1"/>
      <c r="C710" s="1"/>
      <c r="D710" s="1"/>
      <c r="E710" s="1"/>
      <c r="F710" s="1"/>
    </row>
    <row r="711" spans="1:6" ht="15.75" customHeight="1" x14ac:dyDescent="0.35">
      <c r="A711" s="1"/>
      <c r="B711" s="1"/>
      <c r="C711" s="1"/>
      <c r="D711" s="1"/>
      <c r="E711" s="1"/>
      <c r="F711" s="1"/>
    </row>
    <row r="712" spans="1:6" ht="15.75" customHeight="1" x14ac:dyDescent="0.35">
      <c r="A712" s="1"/>
      <c r="B712" s="1"/>
      <c r="C712" s="1"/>
      <c r="D712" s="1"/>
      <c r="E712" s="1"/>
      <c r="F712" s="1"/>
    </row>
    <row r="713" spans="1:6" ht="15.75" customHeight="1" x14ac:dyDescent="0.35">
      <c r="A713" s="1"/>
      <c r="B713" s="1"/>
      <c r="C713" s="1"/>
      <c r="D713" s="1"/>
      <c r="E713" s="1"/>
      <c r="F713" s="1"/>
    </row>
    <row r="714" spans="1:6" ht="15.75" customHeight="1" x14ac:dyDescent="0.35">
      <c r="A714" s="1"/>
      <c r="B714" s="1"/>
      <c r="C714" s="1"/>
      <c r="D714" s="1"/>
      <c r="E714" s="1"/>
      <c r="F714" s="1"/>
    </row>
    <row r="715" spans="1:6" ht="15.75" customHeight="1" x14ac:dyDescent="0.35">
      <c r="A715" s="1"/>
      <c r="B715" s="1"/>
      <c r="C715" s="1"/>
      <c r="D715" s="1"/>
      <c r="E715" s="1"/>
      <c r="F715" s="1"/>
    </row>
    <row r="716" spans="1:6" ht="15.75" customHeight="1" x14ac:dyDescent="0.35">
      <c r="A716" s="1"/>
      <c r="B716" s="1"/>
      <c r="C716" s="1"/>
      <c r="D716" s="1"/>
      <c r="E716" s="1"/>
      <c r="F716" s="1"/>
    </row>
    <row r="717" spans="1:6" ht="15.75" customHeight="1" x14ac:dyDescent="0.35">
      <c r="A717" s="1"/>
      <c r="B717" s="1"/>
      <c r="C717" s="1"/>
      <c r="D717" s="1"/>
      <c r="E717" s="1"/>
      <c r="F717" s="1"/>
    </row>
    <row r="718" spans="1:6" ht="15.75" customHeight="1" x14ac:dyDescent="0.35">
      <c r="A718" s="1"/>
      <c r="B718" s="1"/>
      <c r="C718" s="1"/>
      <c r="D718" s="1"/>
      <c r="E718" s="1"/>
      <c r="F718" s="1"/>
    </row>
    <row r="719" spans="1:6" ht="15.75" customHeight="1" x14ac:dyDescent="0.35">
      <c r="A719" s="1"/>
      <c r="B719" s="1"/>
      <c r="C719" s="1"/>
      <c r="D719" s="1"/>
      <c r="E719" s="1"/>
      <c r="F719" s="1"/>
    </row>
    <row r="720" spans="1:6" ht="15.75" customHeight="1" x14ac:dyDescent="0.35">
      <c r="A720" s="1"/>
      <c r="B720" s="1"/>
      <c r="C720" s="1"/>
      <c r="D720" s="1"/>
      <c r="E720" s="1"/>
      <c r="F720" s="1"/>
    </row>
    <row r="721" spans="1:6" ht="15.75" customHeight="1" x14ac:dyDescent="0.35">
      <c r="A721" s="1"/>
      <c r="B721" s="1"/>
      <c r="C721" s="1"/>
      <c r="D721" s="1"/>
      <c r="E721" s="1"/>
      <c r="F721" s="1"/>
    </row>
    <row r="722" spans="1:6" ht="15.75" customHeight="1" x14ac:dyDescent="0.35">
      <c r="A722" s="1"/>
      <c r="B722" s="1"/>
      <c r="C722" s="1"/>
      <c r="D722" s="1"/>
      <c r="E722" s="1"/>
      <c r="F722" s="1"/>
    </row>
    <row r="723" spans="1:6" ht="15.75" customHeight="1" x14ac:dyDescent="0.35">
      <c r="A723" s="1"/>
      <c r="B723" s="1"/>
      <c r="C723" s="1"/>
      <c r="D723" s="1"/>
      <c r="E723" s="1"/>
      <c r="F723" s="1"/>
    </row>
    <row r="724" spans="1:6" ht="15.75" customHeight="1" x14ac:dyDescent="0.35">
      <c r="A724" s="1"/>
      <c r="B724" s="1"/>
      <c r="C724" s="1"/>
      <c r="D724" s="1"/>
      <c r="E724" s="1"/>
      <c r="F724" s="1"/>
    </row>
    <row r="725" spans="1:6" ht="15.75" customHeight="1" x14ac:dyDescent="0.35">
      <c r="A725" s="1"/>
      <c r="B725" s="1"/>
      <c r="C725" s="1"/>
      <c r="D725" s="1"/>
      <c r="E725" s="1"/>
      <c r="F725" s="1"/>
    </row>
    <row r="726" spans="1:6" ht="15.75" customHeight="1" x14ac:dyDescent="0.35">
      <c r="A726" s="1"/>
      <c r="B726" s="1"/>
      <c r="C726" s="1"/>
      <c r="D726" s="1"/>
      <c r="E726" s="1"/>
      <c r="F726" s="1"/>
    </row>
    <row r="727" spans="1:6" ht="15.75" customHeight="1" x14ac:dyDescent="0.35">
      <c r="A727" s="1"/>
      <c r="B727" s="1"/>
      <c r="C727" s="1"/>
      <c r="D727" s="1"/>
      <c r="E727" s="1"/>
      <c r="F727" s="1"/>
    </row>
    <row r="728" spans="1:6" ht="15.75" customHeight="1" x14ac:dyDescent="0.35">
      <c r="A728" s="1"/>
      <c r="B728" s="1"/>
      <c r="C728" s="1"/>
      <c r="D728" s="1"/>
      <c r="E728" s="1"/>
      <c r="F728" s="1"/>
    </row>
    <row r="729" spans="1:6" ht="15.75" customHeight="1" x14ac:dyDescent="0.35">
      <c r="A729" s="1"/>
      <c r="B729" s="1"/>
      <c r="C729" s="1"/>
      <c r="D729" s="1"/>
      <c r="E729" s="1"/>
      <c r="F729" s="1"/>
    </row>
    <row r="730" spans="1:6" ht="15.75" customHeight="1" x14ac:dyDescent="0.35">
      <c r="A730" s="1"/>
      <c r="B730" s="1"/>
      <c r="C730" s="1"/>
      <c r="D730" s="1"/>
      <c r="E730" s="1"/>
      <c r="F730" s="1"/>
    </row>
    <row r="731" spans="1:6" ht="15.75" customHeight="1" x14ac:dyDescent="0.35">
      <c r="A731" s="1"/>
      <c r="B731" s="1"/>
      <c r="C731" s="1"/>
      <c r="D731" s="1"/>
      <c r="E731" s="1"/>
      <c r="F731" s="1"/>
    </row>
    <row r="732" spans="1:6" ht="15.75" customHeight="1" x14ac:dyDescent="0.35">
      <c r="A732" s="1"/>
      <c r="B732" s="1"/>
      <c r="C732" s="1"/>
      <c r="D732" s="1"/>
      <c r="E732" s="1"/>
      <c r="F732" s="1"/>
    </row>
    <row r="733" spans="1:6" ht="15.75" customHeight="1" x14ac:dyDescent="0.35">
      <c r="A733" s="1"/>
      <c r="B733" s="1"/>
      <c r="C733" s="1"/>
      <c r="D733" s="1"/>
      <c r="E733" s="1"/>
      <c r="F733" s="1"/>
    </row>
    <row r="734" spans="1:6" ht="15.75" customHeight="1" x14ac:dyDescent="0.35">
      <c r="A734" s="1"/>
      <c r="B734" s="1"/>
      <c r="C734" s="1"/>
      <c r="D734" s="1"/>
      <c r="E734" s="1"/>
      <c r="F734" s="1"/>
    </row>
    <row r="735" spans="1:6" ht="15.75" customHeight="1" x14ac:dyDescent="0.35">
      <c r="A735" s="1"/>
      <c r="B735" s="1"/>
      <c r="C735" s="1"/>
      <c r="D735" s="1"/>
      <c r="E735" s="1"/>
      <c r="F735" s="1"/>
    </row>
    <row r="736" spans="1:6" ht="15.75" customHeight="1" x14ac:dyDescent="0.35">
      <c r="A736" s="1"/>
      <c r="B736" s="1"/>
      <c r="C736" s="1"/>
      <c r="D736" s="1"/>
      <c r="E736" s="1"/>
      <c r="F736" s="1"/>
    </row>
    <row r="737" spans="1:6" ht="15.75" customHeight="1" x14ac:dyDescent="0.35">
      <c r="A737" s="1"/>
      <c r="B737" s="1"/>
      <c r="C737" s="1"/>
      <c r="D737" s="1"/>
      <c r="E737" s="1"/>
      <c r="F737" s="1"/>
    </row>
    <row r="738" spans="1:6" ht="15.75" customHeight="1" x14ac:dyDescent="0.35">
      <c r="A738" s="1"/>
      <c r="B738" s="1"/>
      <c r="C738" s="1"/>
      <c r="D738" s="1"/>
      <c r="E738" s="1"/>
      <c r="F738" s="1"/>
    </row>
    <row r="739" spans="1:6" ht="15.75" customHeight="1" x14ac:dyDescent="0.35">
      <c r="A739" s="1"/>
      <c r="B739" s="1"/>
      <c r="C739" s="1"/>
      <c r="D739" s="1"/>
      <c r="E739" s="1"/>
      <c r="F739" s="1"/>
    </row>
    <row r="740" spans="1:6" ht="15.75" customHeight="1" x14ac:dyDescent="0.35">
      <c r="A740" s="1"/>
      <c r="B740" s="1"/>
      <c r="C740" s="1"/>
      <c r="D740" s="1"/>
      <c r="E740" s="1"/>
      <c r="F740" s="1"/>
    </row>
    <row r="741" spans="1:6" ht="15.75" customHeight="1" x14ac:dyDescent="0.35">
      <c r="A741" s="1"/>
      <c r="B741" s="1"/>
      <c r="C741" s="1"/>
      <c r="D741" s="1"/>
      <c r="E741" s="1"/>
      <c r="F741" s="1"/>
    </row>
    <row r="742" spans="1:6" ht="15.75" customHeight="1" x14ac:dyDescent="0.35">
      <c r="A742" s="1"/>
      <c r="B742" s="1"/>
      <c r="C742" s="1"/>
      <c r="D742" s="1"/>
      <c r="E742" s="1"/>
      <c r="F742" s="1"/>
    </row>
    <row r="743" spans="1:6" ht="15.75" customHeight="1" x14ac:dyDescent="0.35">
      <c r="A743" s="1"/>
      <c r="B743" s="1"/>
      <c r="C743" s="1"/>
      <c r="D743" s="1"/>
      <c r="E743" s="1"/>
      <c r="F743" s="1"/>
    </row>
    <row r="744" spans="1:6" ht="15.75" customHeight="1" x14ac:dyDescent="0.35">
      <c r="A744" s="1"/>
      <c r="B744" s="1"/>
      <c r="C744" s="1"/>
      <c r="D744" s="1"/>
      <c r="E744" s="1"/>
      <c r="F744" s="1"/>
    </row>
    <row r="745" spans="1:6" ht="15.75" customHeight="1" x14ac:dyDescent="0.35">
      <c r="A745" s="1"/>
      <c r="B745" s="1"/>
      <c r="C745" s="1"/>
      <c r="D745" s="1"/>
      <c r="E745" s="1"/>
      <c r="F745" s="1"/>
    </row>
    <row r="746" spans="1:6" ht="15.75" customHeight="1" x14ac:dyDescent="0.35">
      <c r="A746" s="1"/>
      <c r="B746" s="1"/>
      <c r="C746" s="1"/>
      <c r="D746" s="1"/>
      <c r="E746" s="1"/>
      <c r="F746" s="1"/>
    </row>
    <row r="747" spans="1:6" ht="15.75" customHeight="1" x14ac:dyDescent="0.35">
      <c r="A747" s="1"/>
      <c r="B747" s="1"/>
      <c r="C747" s="1"/>
      <c r="D747" s="1"/>
      <c r="E747" s="1"/>
      <c r="F747" s="1"/>
    </row>
    <row r="748" spans="1:6" ht="15.75" customHeight="1" x14ac:dyDescent="0.35">
      <c r="A748" s="1"/>
      <c r="B748" s="1"/>
      <c r="C748" s="1"/>
      <c r="D748" s="1"/>
      <c r="E748" s="1"/>
      <c r="F748" s="1"/>
    </row>
    <row r="749" spans="1:6" ht="15.75" customHeight="1" x14ac:dyDescent="0.35">
      <c r="A749" s="1"/>
      <c r="B749" s="1"/>
      <c r="C749" s="1"/>
      <c r="D749" s="1"/>
      <c r="E749" s="1"/>
      <c r="F749" s="1"/>
    </row>
    <row r="750" spans="1:6" ht="15.75" customHeight="1" x14ac:dyDescent="0.35">
      <c r="A750" s="1"/>
      <c r="B750" s="1"/>
      <c r="C750" s="1"/>
      <c r="D750" s="1"/>
      <c r="E750" s="1"/>
      <c r="F750" s="1"/>
    </row>
    <row r="751" spans="1:6" ht="15.75" customHeight="1" x14ac:dyDescent="0.35">
      <c r="A751" s="1"/>
      <c r="B751" s="1"/>
      <c r="C751" s="1"/>
      <c r="D751" s="1"/>
      <c r="E751" s="1"/>
      <c r="F751" s="1"/>
    </row>
    <row r="752" spans="1:6" ht="15.75" customHeight="1" x14ac:dyDescent="0.35">
      <c r="A752" s="1"/>
      <c r="B752" s="1"/>
      <c r="C752" s="1"/>
      <c r="D752" s="1"/>
      <c r="E752" s="1"/>
      <c r="F752" s="1"/>
    </row>
    <row r="753" spans="1:6" ht="15.75" customHeight="1" x14ac:dyDescent="0.35">
      <c r="A753" s="1"/>
      <c r="B753" s="1"/>
      <c r="C753" s="1"/>
      <c r="D753" s="1"/>
      <c r="E753" s="1"/>
      <c r="F753" s="1"/>
    </row>
    <row r="754" spans="1:6" ht="15.75" customHeight="1" x14ac:dyDescent="0.35">
      <c r="A754" s="1"/>
      <c r="B754" s="1"/>
      <c r="C754" s="1"/>
      <c r="D754" s="1"/>
      <c r="E754" s="1"/>
      <c r="F754" s="1"/>
    </row>
    <row r="755" spans="1:6" ht="15.75" customHeight="1" x14ac:dyDescent="0.35">
      <c r="A755" s="1"/>
      <c r="B755" s="1"/>
      <c r="C755" s="1"/>
      <c r="D755" s="1"/>
      <c r="E755" s="1"/>
      <c r="F755" s="1"/>
    </row>
    <row r="756" spans="1:6" ht="15.75" customHeight="1" x14ac:dyDescent="0.35">
      <c r="A756" s="1"/>
      <c r="B756" s="1"/>
      <c r="C756" s="1"/>
      <c r="D756" s="1"/>
      <c r="E756" s="1"/>
      <c r="F756" s="1"/>
    </row>
    <row r="757" spans="1:6" ht="15.75" customHeight="1" x14ac:dyDescent="0.35">
      <c r="A757" s="1"/>
      <c r="B757" s="1"/>
      <c r="C757" s="1"/>
      <c r="D757" s="1"/>
      <c r="E757" s="1"/>
      <c r="F757" s="1"/>
    </row>
    <row r="758" spans="1:6" ht="15.75" customHeight="1" x14ac:dyDescent="0.35">
      <c r="A758" s="1"/>
      <c r="B758" s="1"/>
      <c r="C758" s="1"/>
      <c r="D758" s="1"/>
      <c r="E758" s="1"/>
      <c r="F758" s="1"/>
    </row>
    <row r="759" spans="1:6" ht="15.75" customHeight="1" x14ac:dyDescent="0.35">
      <c r="A759" s="1"/>
      <c r="B759" s="1"/>
      <c r="C759" s="1"/>
      <c r="D759" s="1"/>
      <c r="E759" s="1"/>
      <c r="F759" s="1"/>
    </row>
    <row r="760" spans="1:6" ht="15.75" customHeight="1" x14ac:dyDescent="0.35">
      <c r="A760" s="1"/>
      <c r="B760" s="1"/>
      <c r="C760" s="1"/>
      <c r="D760" s="1"/>
      <c r="E760" s="1"/>
      <c r="F760" s="1"/>
    </row>
    <row r="761" spans="1:6" ht="15.75" customHeight="1" x14ac:dyDescent="0.35">
      <c r="A761" s="1"/>
      <c r="B761" s="1"/>
      <c r="C761" s="1"/>
      <c r="D761" s="1"/>
      <c r="E761" s="1"/>
      <c r="F761" s="1"/>
    </row>
    <row r="762" spans="1:6" ht="15.75" customHeight="1" x14ac:dyDescent="0.35">
      <c r="A762" s="1"/>
      <c r="B762" s="1"/>
      <c r="C762" s="1"/>
      <c r="D762" s="1"/>
      <c r="E762" s="1"/>
      <c r="F762" s="1"/>
    </row>
    <row r="763" spans="1:6" ht="15.75" customHeight="1" x14ac:dyDescent="0.35">
      <c r="A763" s="1"/>
      <c r="B763" s="1"/>
      <c r="C763" s="1"/>
      <c r="D763" s="1"/>
      <c r="E763" s="1"/>
      <c r="F763" s="1"/>
    </row>
    <row r="764" spans="1:6" ht="15.75" customHeight="1" x14ac:dyDescent="0.35">
      <c r="A764" s="1"/>
      <c r="B764" s="1"/>
      <c r="C764" s="1"/>
      <c r="D764" s="1"/>
      <c r="E764" s="1"/>
      <c r="F764" s="1"/>
    </row>
    <row r="765" spans="1:6" ht="15.75" customHeight="1" x14ac:dyDescent="0.35">
      <c r="A765" s="1"/>
      <c r="B765" s="1"/>
      <c r="C765" s="1"/>
      <c r="D765" s="1"/>
      <c r="E765" s="1"/>
      <c r="F765" s="1"/>
    </row>
    <row r="766" spans="1:6" ht="15.75" customHeight="1" x14ac:dyDescent="0.35">
      <c r="A766" s="1"/>
      <c r="B766" s="1"/>
      <c r="C766" s="1"/>
      <c r="D766" s="1"/>
      <c r="E766" s="1"/>
      <c r="F766" s="1"/>
    </row>
    <row r="767" spans="1:6" ht="15.75" customHeight="1" x14ac:dyDescent="0.35">
      <c r="A767" s="1"/>
      <c r="B767" s="1"/>
      <c r="C767" s="1"/>
      <c r="D767" s="1"/>
      <c r="E767" s="1"/>
      <c r="F767" s="1"/>
    </row>
    <row r="768" spans="1:6" ht="15.75" customHeight="1" x14ac:dyDescent="0.35">
      <c r="A768" s="1"/>
      <c r="B768" s="1"/>
      <c r="C768" s="1"/>
      <c r="D768" s="1"/>
      <c r="E768" s="1"/>
      <c r="F768" s="1"/>
    </row>
    <row r="769" spans="1:6" ht="15.75" customHeight="1" x14ac:dyDescent="0.35">
      <c r="A769" s="1"/>
      <c r="B769" s="1"/>
      <c r="C769" s="1"/>
      <c r="D769" s="1"/>
      <c r="E769" s="1"/>
      <c r="F769" s="1"/>
    </row>
    <row r="770" spans="1:6" ht="15.75" customHeight="1" x14ac:dyDescent="0.35">
      <c r="A770" s="1"/>
      <c r="B770" s="1"/>
      <c r="C770" s="1"/>
      <c r="D770" s="1"/>
      <c r="E770" s="1"/>
      <c r="F770" s="1"/>
    </row>
    <row r="771" spans="1:6" ht="15.75" customHeight="1" x14ac:dyDescent="0.35">
      <c r="A771" s="1"/>
      <c r="B771" s="1"/>
      <c r="C771" s="1"/>
      <c r="D771" s="1"/>
      <c r="E771" s="1"/>
      <c r="F771" s="1"/>
    </row>
    <row r="772" spans="1:6" ht="15.75" customHeight="1" x14ac:dyDescent="0.35">
      <c r="A772" s="1"/>
      <c r="B772" s="1"/>
      <c r="C772" s="1"/>
      <c r="D772" s="1"/>
      <c r="E772" s="1"/>
      <c r="F772" s="1"/>
    </row>
    <row r="773" spans="1:6" ht="15.75" customHeight="1" x14ac:dyDescent="0.35">
      <c r="A773" s="1"/>
      <c r="B773" s="1"/>
      <c r="C773" s="1"/>
      <c r="D773" s="1"/>
      <c r="E773" s="1"/>
      <c r="F773" s="1"/>
    </row>
    <row r="774" spans="1:6" ht="15.75" customHeight="1" x14ac:dyDescent="0.35">
      <c r="A774" s="1"/>
      <c r="B774" s="1"/>
      <c r="C774" s="1"/>
      <c r="D774" s="1"/>
      <c r="E774" s="1"/>
      <c r="F774" s="1"/>
    </row>
    <row r="775" spans="1:6" ht="15.75" customHeight="1" x14ac:dyDescent="0.35">
      <c r="A775" s="1"/>
      <c r="B775" s="1"/>
      <c r="C775" s="1"/>
      <c r="D775" s="1"/>
      <c r="E775" s="1"/>
      <c r="F775" s="1"/>
    </row>
    <row r="776" spans="1:6" ht="15.75" customHeight="1" x14ac:dyDescent="0.35">
      <c r="A776" s="1"/>
      <c r="B776" s="1"/>
      <c r="C776" s="1"/>
      <c r="D776" s="1"/>
      <c r="E776" s="1"/>
      <c r="F776" s="1"/>
    </row>
    <row r="777" spans="1:6" ht="15.75" customHeight="1" x14ac:dyDescent="0.35">
      <c r="A777" s="1"/>
      <c r="B777" s="1"/>
      <c r="C777" s="1"/>
      <c r="D777" s="1"/>
      <c r="E777" s="1"/>
      <c r="F777" s="1"/>
    </row>
    <row r="778" spans="1:6" ht="15.75" customHeight="1" x14ac:dyDescent="0.35">
      <c r="A778" s="1"/>
      <c r="B778" s="1"/>
      <c r="C778" s="1"/>
      <c r="D778" s="1"/>
      <c r="E778" s="1"/>
      <c r="F778" s="1"/>
    </row>
    <row r="779" spans="1:6" ht="15.75" customHeight="1" x14ac:dyDescent="0.35">
      <c r="A779" s="1"/>
      <c r="B779" s="1"/>
      <c r="C779" s="1"/>
      <c r="D779" s="1"/>
      <c r="E779" s="1"/>
      <c r="F779" s="1"/>
    </row>
    <row r="780" spans="1:6" ht="15.75" customHeight="1" x14ac:dyDescent="0.35">
      <c r="A780" s="1"/>
      <c r="B780" s="1"/>
      <c r="C780" s="1"/>
      <c r="D780" s="1"/>
      <c r="E780" s="1"/>
      <c r="F780" s="1"/>
    </row>
    <row r="781" spans="1:6" ht="15.75" customHeight="1" x14ac:dyDescent="0.35">
      <c r="A781" s="1"/>
      <c r="B781" s="1"/>
      <c r="C781" s="1"/>
      <c r="D781" s="1"/>
      <c r="E781" s="1"/>
      <c r="F781" s="1"/>
    </row>
    <row r="782" spans="1:6" ht="15.75" customHeight="1" x14ac:dyDescent="0.35">
      <c r="A782" s="1"/>
      <c r="B782" s="1"/>
      <c r="C782" s="1"/>
      <c r="D782" s="1"/>
      <c r="E782" s="1"/>
      <c r="F782" s="1"/>
    </row>
    <row r="783" spans="1:6" ht="15.75" customHeight="1" x14ac:dyDescent="0.35">
      <c r="A783" s="1"/>
      <c r="B783" s="1"/>
      <c r="C783" s="1"/>
      <c r="D783" s="1"/>
      <c r="E783" s="1"/>
      <c r="F783" s="1"/>
    </row>
    <row r="784" spans="1:6" ht="15.75" customHeight="1" x14ac:dyDescent="0.35">
      <c r="A784" s="1"/>
      <c r="B784" s="1"/>
      <c r="C784" s="1"/>
      <c r="D784" s="1"/>
      <c r="E784" s="1"/>
      <c r="F784" s="1"/>
    </row>
    <row r="785" spans="1:6" ht="15.75" customHeight="1" x14ac:dyDescent="0.35">
      <c r="A785" s="1"/>
      <c r="B785" s="1"/>
      <c r="C785" s="1"/>
      <c r="D785" s="1"/>
      <c r="E785" s="1"/>
      <c r="F785" s="1"/>
    </row>
    <row r="786" spans="1:6" ht="15.75" customHeight="1" x14ac:dyDescent="0.35">
      <c r="A786" s="1"/>
      <c r="B786" s="1"/>
      <c r="C786" s="1"/>
      <c r="D786" s="1"/>
      <c r="E786" s="1"/>
      <c r="F786" s="1"/>
    </row>
    <row r="787" spans="1:6" ht="15.75" customHeight="1" x14ac:dyDescent="0.35">
      <c r="A787" s="1"/>
      <c r="B787" s="1"/>
      <c r="C787" s="1"/>
      <c r="D787" s="1"/>
      <c r="E787" s="1"/>
      <c r="F787" s="1"/>
    </row>
    <row r="788" spans="1:6" ht="15.75" customHeight="1" x14ac:dyDescent="0.35">
      <c r="A788" s="1"/>
      <c r="B788" s="1"/>
      <c r="C788" s="1"/>
      <c r="D788" s="1"/>
      <c r="E788" s="1"/>
      <c r="F788" s="1"/>
    </row>
    <row r="789" spans="1:6" ht="15.75" customHeight="1" x14ac:dyDescent="0.35">
      <c r="A789" s="1"/>
      <c r="B789" s="1"/>
      <c r="C789" s="1"/>
      <c r="D789" s="1"/>
      <c r="E789" s="1"/>
      <c r="F789" s="1"/>
    </row>
    <row r="790" spans="1:6" ht="15.75" customHeight="1" x14ac:dyDescent="0.35">
      <c r="A790" s="1"/>
      <c r="B790" s="1"/>
      <c r="C790" s="1"/>
      <c r="D790" s="1"/>
      <c r="E790" s="1"/>
      <c r="F790" s="1"/>
    </row>
    <row r="791" spans="1:6" ht="15.75" customHeight="1" x14ac:dyDescent="0.35">
      <c r="A791" s="1"/>
      <c r="B791" s="1"/>
      <c r="C791" s="1"/>
      <c r="D791" s="1"/>
      <c r="E791" s="1"/>
      <c r="F791" s="1"/>
    </row>
    <row r="792" spans="1:6" ht="15.75" customHeight="1" x14ac:dyDescent="0.35">
      <c r="A792" s="1"/>
      <c r="B792" s="1"/>
      <c r="C792" s="1"/>
      <c r="D792" s="1"/>
      <c r="E792" s="1"/>
      <c r="F792" s="1"/>
    </row>
    <row r="793" spans="1:6" ht="15.75" customHeight="1" x14ac:dyDescent="0.35">
      <c r="A793" s="1"/>
      <c r="B793" s="1"/>
      <c r="C793" s="1"/>
      <c r="D793" s="1"/>
      <c r="E793" s="1"/>
      <c r="F793" s="1"/>
    </row>
    <row r="794" spans="1:6" ht="15.75" customHeight="1" x14ac:dyDescent="0.35">
      <c r="A794" s="1"/>
      <c r="B794" s="1"/>
      <c r="C794" s="1"/>
      <c r="D794" s="1"/>
      <c r="E794" s="1"/>
      <c r="F794" s="1"/>
    </row>
    <row r="795" spans="1:6" ht="15.75" customHeight="1" x14ac:dyDescent="0.35">
      <c r="A795" s="1"/>
      <c r="B795" s="1"/>
      <c r="C795" s="1"/>
      <c r="D795" s="1"/>
      <c r="E795" s="1"/>
      <c r="F795" s="1"/>
    </row>
    <row r="796" spans="1:6" ht="15.75" customHeight="1" x14ac:dyDescent="0.35">
      <c r="A796" s="1"/>
      <c r="B796" s="1"/>
      <c r="C796" s="1"/>
      <c r="D796" s="1"/>
      <c r="E796" s="1"/>
      <c r="F796" s="1"/>
    </row>
    <row r="797" spans="1:6" ht="15.75" customHeight="1" x14ac:dyDescent="0.35">
      <c r="A797" s="1"/>
      <c r="B797" s="1"/>
      <c r="C797" s="1"/>
      <c r="D797" s="1"/>
      <c r="E797" s="1"/>
      <c r="F797" s="1"/>
    </row>
    <row r="798" spans="1:6" ht="15.75" customHeight="1" x14ac:dyDescent="0.35">
      <c r="A798" s="1"/>
      <c r="B798" s="1"/>
      <c r="C798" s="1"/>
      <c r="D798" s="1"/>
      <c r="E798" s="1"/>
      <c r="F798" s="1"/>
    </row>
    <row r="799" spans="1:6" ht="15.75" customHeight="1" x14ac:dyDescent="0.35">
      <c r="A799" s="1"/>
      <c r="B799" s="1"/>
      <c r="C799" s="1"/>
      <c r="D799" s="1"/>
      <c r="E799" s="1"/>
      <c r="F799" s="1"/>
    </row>
    <row r="800" spans="1:6" ht="15.75" customHeight="1" x14ac:dyDescent="0.35">
      <c r="A800" s="1"/>
      <c r="B800" s="1"/>
      <c r="C800" s="1"/>
      <c r="D800" s="1"/>
      <c r="E800" s="1"/>
      <c r="F800" s="1"/>
    </row>
    <row r="801" spans="1:6" ht="15.75" customHeight="1" x14ac:dyDescent="0.35">
      <c r="A801" s="1"/>
      <c r="B801" s="1"/>
      <c r="C801" s="1"/>
      <c r="D801" s="1"/>
      <c r="E801" s="1"/>
      <c r="F801" s="1"/>
    </row>
    <row r="802" spans="1:6" ht="15.75" customHeight="1" x14ac:dyDescent="0.35">
      <c r="A802" s="1"/>
      <c r="B802" s="1"/>
      <c r="C802" s="1"/>
      <c r="D802" s="1"/>
      <c r="E802" s="1"/>
      <c r="F802" s="1"/>
    </row>
    <row r="803" spans="1:6" ht="15.75" customHeight="1" x14ac:dyDescent="0.35">
      <c r="A803" s="1"/>
      <c r="B803" s="1"/>
      <c r="C803" s="1"/>
      <c r="D803" s="1"/>
      <c r="E803" s="1"/>
      <c r="F803" s="1"/>
    </row>
    <row r="804" spans="1:6" ht="15.75" customHeight="1" x14ac:dyDescent="0.35">
      <c r="A804" s="1"/>
      <c r="B804" s="1"/>
      <c r="C804" s="1"/>
      <c r="D804" s="1"/>
      <c r="E804" s="1"/>
      <c r="F804" s="1"/>
    </row>
    <row r="805" spans="1:6" ht="15.75" customHeight="1" x14ac:dyDescent="0.35">
      <c r="A805" s="1"/>
      <c r="B805" s="1"/>
      <c r="C805" s="1"/>
      <c r="D805" s="1"/>
      <c r="E805" s="1"/>
      <c r="F805" s="1"/>
    </row>
    <row r="806" spans="1:6" ht="15.75" customHeight="1" x14ac:dyDescent="0.35">
      <c r="A806" s="1"/>
      <c r="B806" s="1"/>
      <c r="C806" s="1"/>
      <c r="D806" s="1"/>
      <c r="E806" s="1"/>
      <c r="F806" s="1"/>
    </row>
    <row r="807" spans="1:6" ht="15.75" customHeight="1" x14ac:dyDescent="0.35">
      <c r="A807" s="1"/>
      <c r="B807" s="1"/>
      <c r="C807" s="1"/>
      <c r="D807" s="1"/>
      <c r="E807" s="1"/>
      <c r="F807" s="1"/>
    </row>
    <row r="808" spans="1:6" ht="15.75" customHeight="1" x14ac:dyDescent="0.35">
      <c r="A808" s="1"/>
      <c r="B808" s="1"/>
      <c r="C808" s="1"/>
      <c r="D808" s="1"/>
      <c r="E808" s="1"/>
      <c r="F808" s="1"/>
    </row>
    <row r="809" spans="1:6" ht="15.75" customHeight="1" x14ac:dyDescent="0.35">
      <c r="A809" s="1"/>
      <c r="B809" s="1"/>
      <c r="C809" s="1"/>
      <c r="D809" s="1"/>
      <c r="E809" s="1"/>
      <c r="F809" s="1"/>
    </row>
    <row r="810" spans="1:6" ht="15.75" customHeight="1" x14ac:dyDescent="0.35">
      <c r="A810" s="1"/>
      <c r="B810" s="1"/>
      <c r="C810" s="1"/>
      <c r="D810" s="1"/>
      <c r="E810" s="1"/>
      <c r="F810" s="1"/>
    </row>
    <row r="811" spans="1:6" ht="15.75" customHeight="1" x14ac:dyDescent="0.35">
      <c r="A811" s="1"/>
      <c r="B811" s="1"/>
      <c r="C811" s="1"/>
      <c r="D811" s="1"/>
      <c r="E811" s="1"/>
      <c r="F811" s="1"/>
    </row>
    <row r="812" spans="1:6" ht="15.75" customHeight="1" x14ac:dyDescent="0.35">
      <c r="A812" s="1"/>
      <c r="B812" s="1"/>
      <c r="C812" s="1"/>
      <c r="D812" s="1"/>
      <c r="E812" s="1"/>
      <c r="F812" s="1"/>
    </row>
    <row r="813" spans="1:6" ht="15.75" customHeight="1" x14ac:dyDescent="0.35">
      <c r="A813" s="1"/>
      <c r="B813" s="1"/>
      <c r="C813" s="1"/>
      <c r="D813" s="1"/>
      <c r="E813" s="1"/>
      <c r="F813" s="1"/>
    </row>
    <row r="814" spans="1:6" ht="15.75" customHeight="1" x14ac:dyDescent="0.35">
      <c r="A814" s="1"/>
      <c r="B814" s="1"/>
      <c r="C814" s="1"/>
      <c r="D814" s="1"/>
      <c r="E814" s="1"/>
      <c r="F814" s="1"/>
    </row>
    <row r="815" spans="1:6" ht="15.75" customHeight="1" x14ac:dyDescent="0.35">
      <c r="A815" s="1"/>
      <c r="B815" s="1"/>
      <c r="C815" s="1"/>
      <c r="D815" s="1"/>
      <c r="E815" s="1"/>
      <c r="F815" s="1"/>
    </row>
    <row r="816" spans="1:6" ht="15.75" customHeight="1" x14ac:dyDescent="0.35">
      <c r="A816" s="1"/>
      <c r="B816" s="1"/>
      <c r="C816" s="1"/>
      <c r="D816" s="1"/>
      <c r="E816" s="1"/>
      <c r="F816" s="1"/>
    </row>
    <row r="817" spans="1:6" ht="15.75" customHeight="1" x14ac:dyDescent="0.35">
      <c r="A817" s="1"/>
      <c r="B817" s="1"/>
      <c r="C817" s="1"/>
      <c r="D817" s="1"/>
      <c r="E817" s="1"/>
      <c r="F817" s="1"/>
    </row>
    <row r="818" spans="1:6" ht="15.75" customHeight="1" x14ac:dyDescent="0.35">
      <c r="A818" s="1"/>
      <c r="B818" s="1"/>
      <c r="C818" s="1"/>
      <c r="D818" s="1"/>
      <c r="E818" s="1"/>
      <c r="F818" s="1"/>
    </row>
    <row r="819" spans="1:6" ht="15.75" customHeight="1" x14ac:dyDescent="0.35">
      <c r="A819" s="1"/>
      <c r="B819" s="1"/>
      <c r="C819" s="1"/>
      <c r="D819" s="1"/>
      <c r="E819" s="1"/>
      <c r="F819" s="1"/>
    </row>
    <row r="820" spans="1:6" ht="15.75" customHeight="1" x14ac:dyDescent="0.35">
      <c r="A820" s="1"/>
      <c r="B820" s="1"/>
      <c r="C820" s="1"/>
      <c r="D820" s="1"/>
      <c r="E820" s="1"/>
      <c r="F820" s="1"/>
    </row>
    <row r="821" spans="1:6" ht="15.75" customHeight="1" x14ac:dyDescent="0.35">
      <c r="A821" s="1"/>
      <c r="B821" s="1"/>
      <c r="C821" s="1"/>
      <c r="D821" s="1"/>
      <c r="E821" s="1"/>
      <c r="F821" s="1"/>
    </row>
    <row r="822" spans="1:6" ht="15.75" customHeight="1" x14ac:dyDescent="0.35">
      <c r="A822" s="1"/>
      <c r="B822" s="1"/>
      <c r="C822" s="1"/>
      <c r="D822" s="1"/>
      <c r="E822" s="1"/>
      <c r="F822" s="1"/>
    </row>
    <row r="823" spans="1:6" ht="15.75" customHeight="1" x14ac:dyDescent="0.35">
      <c r="A823" s="1"/>
      <c r="B823" s="1"/>
      <c r="C823" s="1"/>
      <c r="D823" s="1"/>
      <c r="E823" s="1"/>
      <c r="F823" s="1"/>
    </row>
    <row r="824" spans="1:6" ht="15.75" customHeight="1" x14ac:dyDescent="0.35">
      <c r="A824" s="1"/>
      <c r="B824" s="1"/>
      <c r="C824" s="1"/>
      <c r="D824" s="1"/>
      <c r="E824" s="1"/>
      <c r="F824" s="1"/>
    </row>
    <row r="825" spans="1:6" ht="15.75" customHeight="1" x14ac:dyDescent="0.35">
      <c r="A825" s="1"/>
      <c r="B825" s="1"/>
      <c r="C825" s="1"/>
      <c r="D825" s="1"/>
      <c r="E825" s="1"/>
      <c r="F825" s="1"/>
    </row>
    <row r="826" spans="1:6" ht="15.75" customHeight="1" x14ac:dyDescent="0.35">
      <c r="A826" s="1"/>
      <c r="B826" s="1"/>
      <c r="C826" s="1"/>
      <c r="D826" s="1"/>
      <c r="E826" s="1"/>
      <c r="F826" s="1"/>
    </row>
    <row r="827" spans="1:6" ht="15.75" customHeight="1" x14ac:dyDescent="0.35">
      <c r="A827" s="1"/>
      <c r="B827" s="1"/>
      <c r="C827" s="1"/>
      <c r="D827" s="1"/>
      <c r="E827" s="1"/>
      <c r="F827" s="1"/>
    </row>
    <row r="828" spans="1:6" ht="15.75" customHeight="1" x14ac:dyDescent="0.35">
      <c r="A828" s="1"/>
      <c r="B828" s="1"/>
      <c r="C828" s="1"/>
      <c r="D828" s="1"/>
      <c r="E828" s="1"/>
      <c r="F828" s="1"/>
    </row>
    <row r="829" spans="1:6" ht="15.75" customHeight="1" x14ac:dyDescent="0.35">
      <c r="A829" s="1"/>
      <c r="B829" s="1"/>
      <c r="C829" s="1"/>
      <c r="D829" s="1"/>
      <c r="E829" s="1"/>
      <c r="F829" s="1"/>
    </row>
    <row r="830" spans="1:6" ht="15.75" customHeight="1" x14ac:dyDescent="0.35">
      <c r="A830" s="1"/>
      <c r="B830" s="1"/>
      <c r="C830" s="1"/>
      <c r="D830" s="1"/>
      <c r="E830" s="1"/>
      <c r="F830" s="1"/>
    </row>
    <row r="831" spans="1:6" ht="15.75" customHeight="1" x14ac:dyDescent="0.35">
      <c r="A831" s="1"/>
      <c r="B831" s="1"/>
      <c r="C831" s="1"/>
      <c r="D831" s="1"/>
      <c r="E831" s="1"/>
      <c r="F831" s="1"/>
    </row>
    <row r="832" spans="1:6" ht="15.75" customHeight="1" x14ac:dyDescent="0.35">
      <c r="A832" s="1"/>
      <c r="B832" s="1"/>
      <c r="C832" s="1"/>
      <c r="D832" s="1"/>
      <c r="E832" s="1"/>
      <c r="F832" s="1"/>
    </row>
    <row r="833" spans="1:6" ht="15.75" customHeight="1" x14ac:dyDescent="0.35">
      <c r="A833" s="1"/>
      <c r="B833" s="1"/>
      <c r="C833" s="1"/>
      <c r="D833" s="1"/>
      <c r="E833" s="1"/>
      <c r="F833" s="1"/>
    </row>
    <row r="834" spans="1:6" ht="15.75" customHeight="1" x14ac:dyDescent="0.35">
      <c r="A834" s="1"/>
      <c r="B834" s="1"/>
      <c r="C834" s="1"/>
      <c r="D834" s="1"/>
      <c r="E834" s="1"/>
      <c r="F834" s="1"/>
    </row>
    <row r="835" spans="1:6" ht="15.75" customHeight="1" x14ac:dyDescent="0.35">
      <c r="A835" s="1"/>
      <c r="B835" s="1"/>
      <c r="C835" s="1"/>
      <c r="D835" s="1"/>
      <c r="E835" s="1"/>
      <c r="F835" s="1"/>
    </row>
    <row r="836" spans="1:6" ht="15.75" customHeight="1" x14ac:dyDescent="0.35">
      <c r="A836" s="1"/>
      <c r="B836" s="1"/>
      <c r="C836" s="1"/>
      <c r="D836" s="1"/>
      <c r="E836" s="1"/>
      <c r="F836" s="1"/>
    </row>
    <row r="837" spans="1:6" ht="15.75" customHeight="1" x14ac:dyDescent="0.35">
      <c r="A837" s="1"/>
      <c r="B837" s="1"/>
      <c r="C837" s="1"/>
      <c r="D837" s="1"/>
      <c r="E837" s="1"/>
      <c r="F837" s="1"/>
    </row>
    <row r="838" spans="1:6" ht="15.75" customHeight="1" x14ac:dyDescent="0.35">
      <c r="A838" s="1"/>
      <c r="B838" s="1"/>
      <c r="C838" s="1"/>
      <c r="D838" s="1"/>
      <c r="E838" s="1"/>
      <c r="F838" s="1"/>
    </row>
    <row r="839" spans="1:6" ht="15.75" customHeight="1" x14ac:dyDescent="0.35">
      <c r="A839" s="1"/>
      <c r="B839" s="1"/>
      <c r="C839" s="1"/>
      <c r="D839" s="1"/>
      <c r="E839" s="1"/>
      <c r="F839" s="1"/>
    </row>
    <row r="840" spans="1:6" ht="15.75" customHeight="1" x14ac:dyDescent="0.35">
      <c r="A840" s="1"/>
      <c r="B840" s="1"/>
      <c r="C840" s="1"/>
      <c r="D840" s="1"/>
      <c r="E840" s="1"/>
      <c r="F840" s="1"/>
    </row>
    <row r="841" spans="1:6" ht="15.75" customHeight="1" x14ac:dyDescent="0.35">
      <c r="A841" s="1"/>
      <c r="B841" s="1"/>
      <c r="C841" s="1"/>
      <c r="D841" s="1"/>
      <c r="E841" s="1"/>
      <c r="F841" s="1"/>
    </row>
    <row r="842" spans="1:6" ht="15.75" customHeight="1" x14ac:dyDescent="0.35">
      <c r="A842" s="1"/>
      <c r="B842" s="1"/>
      <c r="C842" s="1"/>
      <c r="D842" s="1"/>
      <c r="E842" s="1"/>
      <c r="F842" s="1"/>
    </row>
    <row r="843" spans="1:6" ht="15.75" customHeight="1" x14ac:dyDescent="0.35">
      <c r="A843" s="1"/>
      <c r="B843" s="1"/>
      <c r="C843" s="1"/>
      <c r="D843" s="1"/>
      <c r="E843" s="1"/>
      <c r="F843" s="1"/>
    </row>
    <row r="844" spans="1:6" ht="15.75" customHeight="1" x14ac:dyDescent="0.35">
      <c r="A844" s="1"/>
      <c r="B844" s="1"/>
      <c r="C844" s="1"/>
      <c r="D844" s="1"/>
      <c r="E844" s="1"/>
      <c r="F844" s="1"/>
    </row>
    <row r="845" spans="1:6" ht="15.75" customHeight="1" x14ac:dyDescent="0.35">
      <c r="A845" s="1"/>
      <c r="B845" s="1"/>
      <c r="C845" s="1"/>
      <c r="D845" s="1"/>
      <c r="E845" s="1"/>
      <c r="F845" s="1"/>
    </row>
    <row r="846" spans="1:6" ht="15.75" customHeight="1" x14ac:dyDescent="0.35">
      <c r="A846" s="1"/>
      <c r="B846" s="1"/>
      <c r="C846" s="1"/>
      <c r="D846" s="1"/>
      <c r="E846" s="1"/>
      <c r="F846" s="1"/>
    </row>
    <row r="847" spans="1:6" ht="15.75" customHeight="1" x14ac:dyDescent="0.35">
      <c r="A847" s="1"/>
      <c r="B847" s="1"/>
      <c r="C847" s="1"/>
      <c r="D847" s="1"/>
      <c r="E847" s="1"/>
      <c r="F847" s="1"/>
    </row>
    <row r="848" spans="1:6" ht="15.75" customHeight="1" x14ac:dyDescent="0.35">
      <c r="A848" s="1"/>
      <c r="B848" s="1"/>
      <c r="C848" s="1"/>
      <c r="D848" s="1"/>
      <c r="E848" s="1"/>
      <c r="F848" s="1"/>
    </row>
    <row r="849" spans="1:6" ht="15.75" customHeight="1" x14ac:dyDescent="0.35">
      <c r="A849" s="1"/>
      <c r="B849" s="1"/>
      <c r="C849" s="1"/>
      <c r="D849" s="1"/>
      <c r="E849" s="1"/>
      <c r="F849" s="1"/>
    </row>
    <row r="850" spans="1:6" ht="15.75" customHeight="1" x14ac:dyDescent="0.35">
      <c r="A850" s="1"/>
      <c r="B850" s="1"/>
      <c r="C850" s="1"/>
      <c r="D850" s="1"/>
      <c r="E850" s="1"/>
      <c r="F850" s="1"/>
    </row>
    <row r="851" spans="1:6" ht="15.75" customHeight="1" x14ac:dyDescent="0.35">
      <c r="A851" s="1"/>
      <c r="B851" s="1"/>
      <c r="C851" s="1"/>
      <c r="D851" s="1"/>
      <c r="E851" s="1"/>
      <c r="F851" s="1"/>
    </row>
    <row r="852" spans="1:6" ht="15.75" customHeight="1" x14ac:dyDescent="0.35">
      <c r="A852" s="1"/>
      <c r="B852" s="1"/>
      <c r="C852" s="1"/>
      <c r="D852" s="1"/>
      <c r="E852" s="1"/>
      <c r="F852" s="1"/>
    </row>
    <row r="853" spans="1:6" ht="15.75" customHeight="1" x14ac:dyDescent="0.35">
      <c r="A853" s="1"/>
      <c r="B853" s="1"/>
      <c r="C853" s="1"/>
      <c r="D853" s="1"/>
      <c r="E853" s="1"/>
      <c r="F853" s="1"/>
    </row>
    <row r="854" spans="1:6" ht="15.75" customHeight="1" x14ac:dyDescent="0.35">
      <c r="A854" s="1"/>
      <c r="B854" s="1"/>
      <c r="C854" s="1"/>
      <c r="D854" s="1"/>
      <c r="E854" s="1"/>
      <c r="F854" s="1"/>
    </row>
    <row r="855" spans="1:6" ht="15.75" customHeight="1" x14ac:dyDescent="0.35">
      <c r="A855" s="1"/>
      <c r="B855" s="1"/>
      <c r="C855" s="1"/>
      <c r="D855" s="1"/>
      <c r="E855" s="1"/>
      <c r="F855" s="1"/>
    </row>
    <row r="856" spans="1:6" ht="15.75" customHeight="1" x14ac:dyDescent="0.35">
      <c r="A856" s="1"/>
      <c r="B856" s="1"/>
      <c r="C856" s="1"/>
      <c r="D856" s="1"/>
      <c r="E856" s="1"/>
      <c r="F856" s="1"/>
    </row>
    <row r="857" spans="1:6" ht="15.75" customHeight="1" x14ac:dyDescent="0.35">
      <c r="A857" s="1"/>
      <c r="B857" s="1"/>
      <c r="C857" s="1"/>
      <c r="D857" s="1"/>
      <c r="E857" s="1"/>
      <c r="F857" s="1"/>
    </row>
    <row r="858" spans="1:6" ht="15.75" customHeight="1" x14ac:dyDescent="0.35">
      <c r="A858" s="1"/>
      <c r="B858" s="1"/>
      <c r="C858" s="1"/>
      <c r="D858" s="1"/>
      <c r="E858" s="1"/>
      <c r="F858" s="1"/>
    </row>
    <row r="859" spans="1:6" ht="15.75" customHeight="1" x14ac:dyDescent="0.35">
      <c r="A859" s="1"/>
      <c r="B859" s="1"/>
      <c r="C859" s="1"/>
      <c r="D859" s="1"/>
      <c r="E859" s="1"/>
      <c r="F859" s="1"/>
    </row>
    <row r="860" spans="1:6" ht="15.75" customHeight="1" x14ac:dyDescent="0.35">
      <c r="A860" s="1"/>
      <c r="B860" s="1"/>
      <c r="C860" s="1"/>
      <c r="D860" s="1"/>
      <c r="E860" s="1"/>
      <c r="F860" s="1"/>
    </row>
    <row r="861" spans="1:6" ht="15.75" customHeight="1" x14ac:dyDescent="0.35">
      <c r="A861" s="1"/>
      <c r="B861" s="1"/>
      <c r="C861" s="1"/>
      <c r="D861" s="1"/>
      <c r="E861" s="1"/>
      <c r="F861" s="1"/>
    </row>
    <row r="862" spans="1:6" ht="15.75" customHeight="1" x14ac:dyDescent="0.35">
      <c r="A862" s="1"/>
      <c r="B862" s="1"/>
      <c r="C862" s="1"/>
      <c r="D862" s="1"/>
      <c r="E862" s="1"/>
      <c r="F862" s="1"/>
    </row>
    <row r="863" spans="1:6" ht="15.75" customHeight="1" x14ac:dyDescent="0.35">
      <c r="A863" s="1"/>
      <c r="B863" s="1"/>
      <c r="C863" s="1"/>
      <c r="D863" s="1"/>
      <c r="E863" s="1"/>
      <c r="F863" s="1"/>
    </row>
    <row r="864" spans="1:6" ht="15.75" customHeight="1" x14ac:dyDescent="0.35">
      <c r="A864" s="1"/>
      <c r="B864" s="1"/>
      <c r="C864" s="1"/>
      <c r="D864" s="1"/>
      <c r="E864" s="1"/>
      <c r="F864" s="1"/>
    </row>
    <row r="865" spans="1:6" ht="15.75" customHeight="1" x14ac:dyDescent="0.35">
      <c r="A865" s="1"/>
      <c r="B865" s="1"/>
      <c r="C865" s="1"/>
      <c r="D865" s="1"/>
      <c r="E865" s="1"/>
      <c r="F865" s="1"/>
    </row>
    <row r="866" spans="1:6" ht="15.75" customHeight="1" x14ac:dyDescent="0.35">
      <c r="A866" s="1"/>
      <c r="B866" s="1"/>
      <c r="C866" s="1"/>
      <c r="D866" s="1"/>
      <c r="E866" s="1"/>
      <c r="F866" s="1"/>
    </row>
    <row r="867" spans="1:6" ht="15.75" customHeight="1" x14ac:dyDescent="0.35">
      <c r="A867" s="1"/>
      <c r="B867" s="1"/>
      <c r="C867" s="1"/>
      <c r="D867" s="1"/>
      <c r="E867" s="1"/>
      <c r="F867" s="1"/>
    </row>
    <row r="868" spans="1:6" ht="15.75" customHeight="1" x14ac:dyDescent="0.35">
      <c r="A868" s="1"/>
      <c r="B868" s="1"/>
      <c r="C868" s="1"/>
      <c r="D868" s="1"/>
      <c r="E868" s="1"/>
      <c r="F868" s="1"/>
    </row>
    <row r="869" spans="1:6" ht="15.75" customHeight="1" x14ac:dyDescent="0.35">
      <c r="A869" s="1"/>
      <c r="B869" s="1"/>
      <c r="C869" s="1"/>
      <c r="D869" s="1"/>
      <c r="E869" s="1"/>
      <c r="F869" s="1"/>
    </row>
    <row r="870" spans="1:6" ht="15.75" customHeight="1" x14ac:dyDescent="0.35">
      <c r="A870" s="1"/>
      <c r="B870" s="1"/>
      <c r="C870" s="1"/>
      <c r="D870" s="1"/>
      <c r="E870" s="1"/>
      <c r="F870" s="1"/>
    </row>
    <row r="871" spans="1:6" ht="15.75" customHeight="1" x14ac:dyDescent="0.35">
      <c r="A871" s="1"/>
      <c r="B871" s="1"/>
      <c r="C871" s="1"/>
      <c r="D871" s="1"/>
      <c r="E871" s="1"/>
      <c r="F871" s="1"/>
    </row>
    <row r="872" spans="1:6" ht="15.75" customHeight="1" x14ac:dyDescent="0.35">
      <c r="A872" s="1"/>
      <c r="B872" s="1"/>
      <c r="C872" s="1"/>
      <c r="D872" s="1"/>
      <c r="E872" s="1"/>
      <c r="F872" s="1"/>
    </row>
    <row r="873" spans="1:6" ht="15.75" customHeight="1" x14ac:dyDescent="0.35">
      <c r="A873" s="1"/>
      <c r="B873" s="1"/>
      <c r="C873" s="1"/>
      <c r="D873" s="1"/>
      <c r="E873" s="1"/>
      <c r="F873" s="1"/>
    </row>
    <row r="874" spans="1:6" ht="15.75" customHeight="1" x14ac:dyDescent="0.35">
      <c r="A874" s="1"/>
      <c r="B874" s="1"/>
      <c r="C874" s="1"/>
      <c r="D874" s="1"/>
      <c r="E874" s="1"/>
      <c r="F874" s="1"/>
    </row>
    <row r="875" spans="1:6" ht="15.75" customHeight="1" x14ac:dyDescent="0.35">
      <c r="A875" s="1"/>
      <c r="B875" s="1"/>
      <c r="C875" s="1"/>
      <c r="D875" s="1"/>
      <c r="E875" s="1"/>
      <c r="F875" s="1"/>
    </row>
    <row r="876" spans="1:6" ht="15.75" customHeight="1" x14ac:dyDescent="0.35">
      <c r="A876" s="1"/>
      <c r="B876" s="1"/>
      <c r="C876" s="1"/>
      <c r="D876" s="1"/>
      <c r="E876" s="1"/>
      <c r="F876" s="1"/>
    </row>
    <row r="877" spans="1:6" ht="15.75" customHeight="1" x14ac:dyDescent="0.35">
      <c r="A877" s="1"/>
      <c r="B877" s="1"/>
      <c r="C877" s="1"/>
      <c r="D877" s="1"/>
      <c r="E877" s="1"/>
      <c r="F877" s="1"/>
    </row>
    <row r="878" spans="1:6" ht="15.75" customHeight="1" x14ac:dyDescent="0.35">
      <c r="A878" s="1"/>
      <c r="B878" s="1"/>
      <c r="C878" s="1"/>
      <c r="D878" s="1"/>
      <c r="E878" s="1"/>
      <c r="F878" s="1"/>
    </row>
    <row r="879" spans="1:6" ht="15.75" customHeight="1" x14ac:dyDescent="0.35">
      <c r="A879" s="1"/>
      <c r="B879" s="1"/>
      <c r="C879" s="1"/>
      <c r="D879" s="1"/>
      <c r="E879" s="1"/>
      <c r="F879" s="1"/>
    </row>
    <row r="880" spans="1:6" ht="15.75" customHeight="1" x14ac:dyDescent="0.35">
      <c r="A880" s="1"/>
      <c r="B880" s="1"/>
      <c r="C880" s="1"/>
      <c r="D880" s="1"/>
      <c r="E880" s="1"/>
      <c r="F880" s="1"/>
    </row>
    <row r="881" spans="1:6" ht="15.75" customHeight="1" x14ac:dyDescent="0.35">
      <c r="A881" s="1"/>
      <c r="B881" s="1"/>
      <c r="C881" s="1"/>
      <c r="D881" s="1"/>
      <c r="E881" s="1"/>
      <c r="F881" s="1"/>
    </row>
    <row r="882" spans="1:6" ht="15.75" customHeight="1" x14ac:dyDescent="0.35">
      <c r="A882" s="1"/>
      <c r="B882" s="1"/>
      <c r="C882" s="1"/>
      <c r="D882" s="1"/>
      <c r="E882" s="1"/>
      <c r="F882" s="1"/>
    </row>
    <row r="883" spans="1:6" ht="15.75" customHeight="1" x14ac:dyDescent="0.35">
      <c r="A883" s="1"/>
      <c r="B883" s="1"/>
      <c r="C883" s="1"/>
      <c r="D883" s="1"/>
      <c r="E883" s="1"/>
      <c r="F883" s="1"/>
    </row>
    <row r="884" spans="1:6" ht="15.75" customHeight="1" x14ac:dyDescent="0.35">
      <c r="A884" s="1"/>
      <c r="B884" s="1"/>
      <c r="C884" s="1"/>
      <c r="D884" s="1"/>
      <c r="E884" s="1"/>
      <c r="F884" s="1"/>
    </row>
    <row r="885" spans="1:6" ht="15.75" customHeight="1" x14ac:dyDescent="0.35">
      <c r="A885" s="1"/>
      <c r="B885" s="1"/>
      <c r="C885" s="1"/>
      <c r="D885" s="1"/>
      <c r="E885" s="1"/>
      <c r="F885" s="1"/>
    </row>
    <row r="886" spans="1:6" ht="15.75" customHeight="1" x14ac:dyDescent="0.35">
      <c r="A886" s="1"/>
      <c r="B886" s="1"/>
      <c r="C886" s="1"/>
      <c r="D886" s="1"/>
      <c r="E886" s="1"/>
      <c r="F886" s="1"/>
    </row>
    <row r="887" spans="1:6" ht="15.75" customHeight="1" x14ac:dyDescent="0.35">
      <c r="A887" s="1"/>
      <c r="B887" s="1"/>
      <c r="C887" s="1"/>
      <c r="D887" s="1"/>
      <c r="E887" s="1"/>
      <c r="F887" s="1"/>
    </row>
    <row r="888" spans="1:6" ht="15.75" customHeight="1" x14ac:dyDescent="0.35">
      <c r="A888" s="1"/>
      <c r="B888" s="1"/>
      <c r="C888" s="1"/>
      <c r="D888" s="1"/>
      <c r="E888" s="1"/>
      <c r="F888" s="1"/>
    </row>
    <row r="889" spans="1:6" ht="15.75" customHeight="1" x14ac:dyDescent="0.35">
      <c r="A889" s="1"/>
      <c r="B889" s="1"/>
      <c r="C889" s="1"/>
      <c r="D889" s="1"/>
      <c r="E889" s="1"/>
      <c r="F889" s="1"/>
    </row>
    <row r="890" spans="1:6" ht="15.75" customHeight="1" x14ac:dyDescent="0.35">
      <c r="A890" s="1"/>
      <c r="B890" s="1"/>
      <c r="C890" s="1"/>
      <c r="D890" s="1"/>
      <c r="E890" s="1"/>
      <c r="F890" s="1"/>
    </row>
    <row r="891" spans="1:6" ht="15.75" customHeight="1" x14ac:dyDescent="0.35">
      <c r="A891" s="1"/>
      <c r="B891" s="1"/>
      <c r="C891" s="1"/>
      <c r="D891" s="1"/>
      <c r="E891" s="1"/>
      <c r="F891" s="1"/>
    </row>
    <row r="892" spans="1:6" ht="15.75" customHeight="1" x14ac:dyDescent="0.35">
      <c r="A892" s="1"/>
      <c r="B892" s="1"/>
      <c r="C892" s="1"/>
      <c r="D892" s="1"/>
      <c r="E892" s="1"/>
      <c r="F892" s="1"/>
    </row>
    <row r="893" spans="1:6" ht="15.75" customHeight="1" x14ac:dyDescent="0.35">
      <c r="A893" s="1"/>
      <c r="B893" s="1"/>
      <c r="C893" s="1"/>
      <c r="D893" s="1"/>
      <c r="E893" s="1"/>
      <c r="F893" s="1"/>
    </row>
    <row r="894" spans="1:6" ht="15.75" customHeight="1" x14ac:dyDescent="0.35">
      <c r="A894" s="1"/>
      <c r="B894" s="1"/>
      <c r="C894" s="1"/>
      <c r="D894" s="1"/>
      <c r="E894" s="1"/>
      <c r="F894" s="1"/>
    </row>
    <row r="895" spans="1:6" ht="15.75" customHeight="1" x14ac:dyDescent="0.35">
      <c r="A895" s="1"/>
      <c r="B895" s="1"/>
      <c r="C895" s="1"/>
      <c r="D895" s="1"/>
      <c r="E895" s="1"/>
      <c r="F895" s="1"/>
    </row>
    <row r="896" spans="1:6" ht="15.75" customHeight="1" x14ac:dyDescent="0.35">
      <c r="A896" s="1"/>
      <c r="B896" s="1"/>
      <c r="C896" s="1"/>
      <c r="D896" s="1"/>
      <c r="E896" s="1"/>
      <c r="F896" s="1"/>
    </row>
    <row r="897" spans="1:6" ht="15.75" customHeight="1" x14ac:dyDescent="0.35">
      <c r="A897" s="1"/>
      <c r="B897" s="1"/>
      <c r="C897" s="1"/>
      <c r="D897" s="1"/>
      <c r="E897" s="1"/>
      <c r="F897" s="1"/>
    </row>
    <row r="898" spans="1:6" ht="15.75" customHeight="1" x14ac:dyDescent="0.35">
      <c r="A898" s="1"/>
      <c r="B898" s="1"/>
      <c r="C898" s="1"/>
      <c r="D898" s="1"/>
      <c r="E898" s="1"/>
      <c r="F898" s="1"/>
    </row>
    <row r="899" spans="1:6" ht="15.75" customHeight="1" x14ac:dyDescent="0.35">
      <c r="A899" s="1"/>
      <c r="B899" s="1"/>
      <c r="C899" s="1"/>
      <c r="D899" s="1"/>
      <c r="E899" s="1"/>
      <c r="F899" s="1"/>
    </row>
    <row r="900" spans="1:6" ht="15.75" customHeight="1" x14ac:dyDescent="0.35">
      <c r="A900" s="1"/>
      <c r="B900" s="1"/>
      <c r="C900" s="1"/>
      <c r="D900" s="1"/>
      <c r="E900" s="1"/>
      <c r="F900" s="1"/>
    </row>
    <row r="901" spans="1:6" ht="15.75" customHeight="1" x14ac:dyDescent="0.35">
      <c r="A901" s="1"/>
      <c r="B901" s="1"/>
      <c r="C901" s="1"/>
      <c r="D901" s="1"/>
      <c r="E901" s="1"/>
      <c r="F901" s="1"/>
    </row>
    <row r="902" spans="1:6" ht="15.75" customHeight="1" x14ac:dyDescent="0.35">
      <c r="A902" s="1"/>
      <c r="B902" s="1"/>
      <c r="C902" s="1"/>
      <c r="D902" s="1"/>
      <c r="E902" s="1"/>
      <c r="F902" s="1"/>
    </row>
    <row r="903" spans="1:6" ht="15.75" customHeight="1" x14ac:dyDescent="0.35">
      <c r="A903" s="1"/>
      <c r="B903" s="1"/>
      <c r="C903" s="1"/>
      <c r="D903" s="1"/>
      <c r="E903" s="1"/>
      <c r="F903" s="1"/>
    </row>
    <row r="904" spans="1:6" ht="15.75" customHeight="1" x14ac:dyDescent="0.35">
      <c r="A904" s="1"/>
      <c r="B904" s="1"/>
      <c r="C904" s="1"/>
      <c r="D904" s="1"/>
      <c r="E904" s="1"/>
      <c r="F904" s="1"/>
    </row>
    <row r="905" spans="1:6" ht="15.75" customHeight="1" x14ac:dyDescent="0.35">
      <c r="A905" s="1"/>
      <c r="B905" s="1"/>
      <c r="C905" s="1"/>
      <c r="D905" s="1"/>
      <c r="E905" s="1"/>
      <c r="F905" s="1"/>
    </row>
    <row r="906" spans="1:6" ht="15.75" customHeight="1" x14ac:dyDescent="0.35">
      <c r="A906" s="1"/>
      <c r="B906" s="1"/>
      <c r="C906" s="1"/>
      <c r="D906" s="1"/>
      <c r="E906" s="1"/>
      <c r="F906" s="1"/>
    </row>
    <row r="907" spans="1:6" ht="15.75" customHeight="1" x14ac:dyDescent="0.35">
      <c r="A907" s="1"/>
      <c r="B907" s="1"/>
      <c r="C907" s="1"/>
      <c r="D907" s="1"/>
      <c r="E907" s="1"/>
      <c r="F907" s="1"/>
    </row>
    <row r="908" spans="1:6" ht="15.75" customHeight="1" x14ac:dyDescent="0.35">
      <c r="A908" s="1"/>
      <c r="B908" s="1"/>
      <c r="C908" s="1"/>
      <c r="D908" s="1"/>
      <c r="E908" s="1"/>
      <c r="F908" s="1"/>
    </row>
    <row r="909" spans="1:6" ht="15.75" customHeight="1" x14ac:dyDescent="0.35">
      <c r="A909" s="1"/>
      <c r="B909" s="1"/>
      <c r="C909" s="1"/>
      <c r="D909" s="1"/>
      <c r="E909" s="1"/>
      <c r="F909" s="1"/>
    </row>
    <row r="910" spans="1:6" ht="15.75" customHeight="1" x14ac:dyDescent="0.35">
      <c r="A910" s="1"/>
      <c r="B910" s="1"/>
      <c r="C910" s="1"/>
      <c r="D910" s="1"/>
      <c r="E910" s="1"/>
      <c r="F910" s="1"/>
    </row>
    <row r="911" spans="1:6" ht="15.75" customHeight="1" x14ac:dyDescent="0.35">
      <c r="A911" s="1"/>
      <c r="B911" s="1"/>
      <c r="C911" s="1"/>
      <c r="D911" s="1"/>
      <c r="E911" s="1"/>
      <c r="F911" s="1"/>
    </row>
    <row r="912" spans="1:6" ht="15.75" customHeight="1" x14ac:dyDescent="0.35">
      <c r="A912" s="1"/>
      <c r="B912" s="1"/>
      <c r="C912" s="1"/>
      <c r="D912" s="1"/>
      <c r="E912" s="1"/>
      <c r="F912" s="1"/>
    </row>
    <row r="913" spans="1:6" ht="15.75" customHeight="1" x14ac:dyDescent="0.35">
      <c r="A913" s="1"/>
      <c r="B913" s="1"/>
      <c r="C913" s="1"/>
      <c r="D913" s="1"/>
      <c r="E913" s="1"/>
      <c r="F913" s="1"/>
    </row>
    <row r="914" spans="1:6" ht="15.75" customHeight="1" x14ac:dyDescent="0.35">
      <c r="A914" s="1"/>
      <c r="B914" s="1"/>
      <c r="C914" s="1"/>
      <c r="D914" s="1"/>
      <c r="E914" s="1"/>
      <c r="F914" s="1"/>
    </row>
    <row r="915" spans="1:6" ht="15.75" customHeight="1" x14ac:dyDescent="0.35">
      <c r="A915" s="1"/>
      <c r="B915" s="1"/>
      <c r="C915" s="1"/>
      <c r="D915" s="1"/>
      <c r="E915" s="1"/>
      <c r="F915" s="1"/>
    </row>
    <row r="916" spans="1:6" ht="15.75" customHeight="1" x14ac:dyDescent="0.35">
      <c r="A916" s="1"/>
      <c r="B916" s="1"/>
      <c r="C916" s="1"/>
      <c r="D916" s="1"/>
      <c r="E916" s="1"/>
      <c r="F916" s="1"/>
    </row>
    <row r="917" spans="1:6" ht="15.75" customHeight="1" x14ac:dyDescent="0.35">
      <c r="A917" s="1"/>
      <c r="B917" s="1"/>
      <c r="C917" s="1"/>
      <c r="D917" s="1"/>
      <c r="E917" s="1"/>
      <c r="F917" s="1"/>
    </row>
    <row r="918" spans="1:6" ht="15.75" customHeight="1" x14ac:dyDescent="0.35">
      <c r="A918" s="1"/>
      <c r="B918" s="1"/>
      <c r="C918" s="1"/>
      <c r="D918" s="1"/>
      <c r="E918" s="1"/>
      <c r="F918" s="1"/>
    </row>
    <row r="919" spans="1:6" ht="15.75" customHeight="1" x14ac:dyDescent="0.35">
      <c r="A919" s="1"/>
      <c r="B919" s="1"/>
      <c r="C919" s="1"/>
      <c r="D919" s="1"/>
      <c r="E919" s="1"/>
      <c r="F919" s="1"/>
    </row>
    <row r="920" spans="1:6" ht="15.75" customHeight="1" x14ac:dyDescent="0.35">
      <c r="A920" s="1"/>
      <c r="B920" s="1"/>
      <c r="C920" s="1"/>
      <c r="D920" s="1"/>
      <c r="E920" s="1"/>
      <c r="F920" s="1"/>
    </row>
    <row r="921" spans="1:6" ht="15.75" customHeight="1" x14ac:dyDescent="0.35">
      <c r="A921" s="1"/>
      <c r="B921" s="1"/>
      <c r="C921" s="1"/>
      <c r="D921" s="1"/>
      <c r="E921" s="1"/>
      <c r="F921" s="1"/>
    </row>
    <row r="922" spans="1:6" ht="15.75" customHeight="1" x14ac:dyDescent="0.35">
      <c r="A922" s="1"/>
      <c r="B922" s="1"/>
      <c r="C922" s="1"/>
      <c r="D922" s="1"/>
      <c r="E922" s="1"/>
      <c r="F922" s="1"/>
    </row>
    <row r="923" spans="1:6" ht="15.75" customHeight="1" x14ac:dyDescent="0.35">
      <c r="A923" s="1"/>
      <c r="B923" s="1"/>
      <c r="C923" s="1"/>
      <c r="D923" s="1"/>
      <c r="E923" s="1"/>
      <c r="F923" s="1"/>
    </row>
    <row r="924" spans="1:6" ht="15.75" customHeight="1" x14ac:dyDescent="0.35">
      <c r="A924" s="1"/>
      <c r="B924" s="1"/>
      <c r="C924" s="1"/>
      <c r="D924" s="1"/>
      <c r="E924" s="1"/>
      <c r="F924" s="1"/>
    </row>
    <row r="925" spans="1:6" ht="15.75" customHeight="1" x14ac:dyDescent="0.35">
      <c r="A925" s="1"/>
      <c r="B925" s="1"/>
      <c r="C925" s="1"/>
      <c r="D925" s="1"/>
      <c r="E925" s="1"/>
      <c r="F925" s="1"/>
    </row>
    <row r="926" spans="1:6" ht="15.75" customHeight="1" x14ac:dyDescent="0.35">
      <c r="A926" s="1"/>
      <c r="B926" s="1"/>
      <c r="C926" s="1"/>
      <c r="D926" s="1"/>
      <c r="E926" s="1"/>
      <c r="F926" s="1"/>
    </row>
    <row r="927" spans="1:6" ht="15.75" customHeight="1" x14ac:dyDescent="0.35">
      <c r="A927" s="1"/>
      <c r="B927" s="1"/>
      <c r="C927" s="1"/>
      <c r="D927" s="1"/>
      <c r="E927" s="1"/>
      <c r="F927" s="1"/>
    </row>
    <row r="928" spans="1:6" ht="15.75" customHeight="1" x14ac:dyDescent="0.35">
      <c r="A928" s="1"/>
      <c r="B928" s="1"/>
      <c r="C928" s="1"/>
      <c r="D928" s="1"/>
      <c r="E928" s="1"/>
      <c r="F928" s="1"/>
    </row>
    <row r="929" spans="1:6" ht="15.75" customHeight="1" x14ac:dyDescent="0.35">
      <c r="A929" s="1"/>
      <c r="B929" s="1"/>
      <c r="C929" s="1"/>
      <c r="D929" s="1"/>
      <c r="E929" s="1"/>
      <c r="F929" s="1"/>
    </row>
    <row r="930" spans="1:6" ht="15.75" customHeight="1" x14ac:dyDescent="0.35">
      <c r="A930" s="1"/>
      <c r="B930" s="1"/>
      <c r="C930" s="1"/>
      <c r="D930" s="1"/>
      <c r="E930" s="1"/>
      <c r="F930" s="1"/>
    </row>
    <row r="931" spans="1:6" ht="15.75" customHeight="1" x14ac:dyDescent="0.35">
      <c r="A931" s="1"/>
      <c r="B931" s="1"/>
      <c r="C931" s="1"/>
      <c r="D931" s="1"/>
      <c r="E931" s="1"/>
      <c r="F931" s="1"/>
    </row>
    <row r="932" spans="1:6" ht="15.75" customHeight="1" x14ac:dyDescent="0.35">
      <c r="A932" s="1"/>
      <c r="B932" s="1"/>
      <c r="C932" s="1"/>
      <c r="D932" s="1"/>
      <c r="E932" s="1"/>
      <c r="F932" s="1"/>
    </row>
    <row r="933" spans="1:6" ht="15.75" customHeight="1" x14ac:dyDescent="0.35">
      <c r="A933" s="1"/>
      <c r="B933" s="1"/>
      <c r="C933" s="1"/>
      <c r="D933" s="1"/>
      <c r="E933" s="1"/>
      <c r="F933" s="1"/>
    </row>
    <row r="934" spans="1:6" ht="15.75" customHeight="1" x14ac:dyDescent="0.35">
      <c r="A934" s="1"/>
      <c r="B934" s="1"/>
      <c r="C934" s="1"/>
      <c r="D934" s="1"/>
      <c r="E934" s="1"/>
      <c r="F934" s="1"/>
    </row>
    <row r="935" spans="1:6" ht="15.75" customHeight="1" x14ac:dyDescent="0.35">
      <c r="A935" s="1"/>
      <c r="B935" s="1"/>
      <c r="C935" s="1"/>
      <c r="D935" s="1"/>
      <c r="E935" s="1"/>
      <c r="F935" s="1"/>
    </row>
    <row r="936" spans="1:6" ht="15.75" customHeight="1" x14ac:dyDescent="0.35">
      <c r="A936" s="1"/>
      <c r="B936" s="1"/>
      <c r="C936" s="1"/>
      <c r="D936" s="1"/>
      <c r="E936" s="1"/>
      <c r="F936" s="1"/>
    </row>
    <row r="937" spans="1:6" ht="15.75" customHeight="1" x14ac:dyDescent="0.35">
      <c r="A937" s="1"/>
      <c r="B937" s="1"/>
      <c r="C937" s="1"/>
      <c r="D937" s="1"/>
      <c r="E937" s="1"/>
      <c r="F937" s="1"/>
    </row>
    <row r="938" spans="1:6" ht="15.75" customHeight="1" x14ac:dyDescent="0.35">
      <c r="A938" s="1"/>
      <c r="B938" s="1"/>
      <c r="C938" s="1"/>
      <c r="D938" s="1"/>
      <c r="E938" s="1"/>
      <c r="F938" s="1"/>
    </row>
    <row r="939" spans="1:6" ht="15.75" customHeight="1" x14ac:dyDescent="0.35">
      <c r="A939" s="1"/>
      <c r="B939" s="1"/>
      <c r="C939" s="1"/>
      <c r="D939" s="1"/>
      <c r="E939" s="1"/>
      <c r="F939" s="1"/>
    </row>
    <row r="940" spans="1:6" ht="15.75" customHeight="1" x14ac:dyDescent="0.35">
      <c r="A940" s="1"/>
      <c r="B940" s="1"/>
      <c r="C940" s="1"/>
      <c r="D940" s="1"/>
      <c r="E940" s="1"/>
      <c r="F940" s="1"/>
    </row>
    <row r="941" spans="1:6" ht="15.75" customHeight="1" x14ac:dyDescent="0.35">
      <c r="A941" s="1"/>
      <c r="B941" s="1"/>
      <c r="C941" s="1"/>
      <c r="D941" s="1"/>
      <c r="E941" s="1"/>
      <c r="F941" s="1"/>
    </row>
    <row r="942" spans="1:6" ht="15.75" customHeight="1" x14ac:dyDescent="0.35">
      <c r="A942" s="1"/>
      <c r="B942" s="1"/>
      <c r="C942" s="1"/>
      <c r="D942" s="1"/>
      <c r="E942" s="1"/>
      <c r="F942" s="1"/>
    </row>
    <row r="943" spans="1:6" ht="15.75" customHeight="1" x14ac:dyDescent="0.35">
      <c r="A943" s="1"/>
      <c r="B943" s="1"/>
      <c r="C943" s="1"/>
      <c r="D943" s="1"/>
      <c r="E943" s="1"/>
      <c r="F943" s="1"/>
    </row>
    <row r="944" spans="1:6" ht="15.75" customHeight="1" x14ac:dyDescent="0.35">
      <c r="A944" s="1"/>
      <c r="B944" s="1"/>
      <c r="C944" s="1"/>
      <c r="D944" s="1"/>
      <c r="E944" s="1"/>
      <c r="F944" s="1"/>
    </row>
    <row r="945" spans="1:6" ht="15.75" customHeight="1" x14ac:dyDescent="0.35">
      <c r="A945" s="1"/>
      <c r="B945" s="1"/>
      <c r="C945" s="1"/>
      <c r="D945" s="1"/>
      <c r="E945" s="1"/>
      <c r="F945" s="1"/>
    </row>
    <row r="946" spans="1:6" ht="15.75" customHeight="1" x14ac:dyDescent="0.35">
      <c r="A946" s="1"/>
      <c r="B946" s="1"/>
      <c r="C946" s="1"/>
      <c r="D946" s="1"/>
      <c r="E946" s="1"/>
      <c r="F946" s="1"/>
    </row>
    <row r="947" spans="1:6" ht="15.75" customHeight="1" x14ac:dyDescent="0.35">
      <c r="A947" s="1"/>
      <c r="B947" s="1"/>
      <c r="C947" s="1"/>
      <c r="D947" s="1"/>
      <c r="E947" s="1"/>
      <c r="F947" s="1"/>
    </row>
    <row r="948" spans="1:6" ht="15.75" customHeight="1" x14ac:dyDescent="0.35">
      <c r="A948" s="1"/>
      <c r="B948" s="1"/>
      <c r="C948" s="1"/>
      <c r="D948" s="1"/>
      <c r="E948" s="1"/>
      <c r="F948" s="1"/>
    </row>
    <row r="949" spans="1:6" ht="15.75" customHeight="1" x14ac:dyDescent="0.35">
      <c r="A949" s="1"/>
      <c r="B949" s="1"/>
      <c r="C949" s="1"/>
      <c r="D949" s="1"/>
      <c r="E949" s="1"/>
      <c r="F949" s="1"/>
    </row>
    <row r="950" spans="1:6" ht="15.75" customHeight="1" x14ac:dyDescent="0.35">
      <c r="A950" s="1"/>
      <c r="B950" s="1"/>
      <c r="C950" s="1"/>
      <c r="D950" s="1"/>
      <c r="E950" s="1"/>
      <c r="F950" s="1"/>
    </row>
    <row r="951" spans="1:6" ht="15.75" customHeight="1" x14ac:dyDescent="0.35">
      <c r="A951" s="1"/>
      <c r="B951" s="1"/>
      <c r="C951" s="1"/>
      <c r="D951" s="1"/>
      <c r="E951" s="1"/>
      <c r="F951" s="1"/>
    </row>
    <row r="952" spans="1:6" ht="15.75" customHeight="1" x14ac:dyDescent="0.35">
      <c r="A952" s="1"/>
      <c r="B952" s="1"/>
      <c r="C952" s="1"/>
      <c r="D952" s="1"/>
      <c r="E952" s="1"/>
      <c r="F952" s="1"/>
    </row>
    <row r="953" spans="1:6" ht="15.75" customHeight="1" x14ac:dyDescent="0.35">
      <c r="A953" s="1"/>
      <c r="B953" s="1"/>
      <c r="C953" s="1"/>
      <c r="D953" s="1"/>
      <c r="E953" s="1"/>
      <c r="F953" s="1"/>
    </row>
    <row r="954" spans="1:6" ht="15.75" customHeight="1" x14ac:dyDescent="0.35">
      <c r="A954" s="1"/>
      <c r="B954" s="1"/>
      <c r="C954" s="1"/>
      <c r="D954" s="1"/>
      <c r="E954" s="1"/>
      <c r="F954" s="1"/>
    </row>
    <row r="955" spans="1:6" ht="15.75" customHeight="1" x14ac:dyDescent="0.35">
      <c r="A955" s="1"/>
      <c r="B955" s="1"/>
      <c r="C955" s="1"/>
      <c r="D955" s="1"/>
      <c r="E955" s="1"/>
      <c r="F955" s="1"/>
    </row>
    <row r="956" spans="1:6" ht="15.75" customHeight="1" x14ac:dyDescent="0.35">
      <c r="A956" s="1"/>
      <c r="B956" s="1"/>
      <c r="C956" s="1"/>
      <c r="D956" s="1"/>
      <c r="E956" s="1"/>
      <c r="F956" s="1"/>
    </row>
    <row r="957" spans="1:6" ht="15.75" customHeight="1" x14ac:dyDescent="0.35">
      <c r="A957" s="1"/>
      <c r="B957" s="1"/>
      <c r="C957" s="1"/>
      <c r="D957" s="1"/>
      <c r="E957" s="1"/>
      <c r="F957" s="1"/>
    </row>
    <row r="958" spans="1:6" ht="15.75" customHeight="1" x14ac:dyDescent="0.35">
      <c r="A958" s="1"/>
      <c r="B958" s="1"/>
      <c r="C958" s="1"/>
      <c r="D958" s="1"/>
      <c r="E958" s="1"/>
      <c r="F958" s="1"/>
    </row>
    <row r="959" spans="1:6" ht="15.75" customHeight="1" x14ac:dyDescent="0.35">
      <c r="A959" s="1"/>
      <c r="B959" s="1"/>
      <c r="C959" s="1"/>
      <c r="D959" s="1"/>
      <c r="E959" s="1"/>
      <c r="F959" s="1"/>
    </row>
    <row r="960" spans="1:6" ht="15.75" customHeight="1" x14ac:dyDescent="0.35">
      <c r="A960" s="1"/>
      <c r="B960" s="1"/>
      <c r="C960" s="1"/>
      <c r="D960" s="1"/>
      <c r="E960" s="1"/>
      <c r="F960" s="1"/>
    </row>
    <row r="961" spans="1:6" ht="15.75" customHeight="1" x14ac:dyDescent="0.35">
      <c r="A961" s="1"/>
      <c r="B961" s="1"/>
      <c r="C961" s="1"/>
      <c r="D961" s="1"/>
      <c r="E961" s="1"/>
      <c r="F961" s="1"/>
    </row>
    <row r="962" spans="1:6" ht="15.75" customHeight="1" x14ac:dyDescent="0.35">
      <c r="A962" s="1"/>
      <c r="B962" s="1"/>
      <c r="C962" s="1"/>
      <c r="D962" s="1"/>
      <c r="E962" s="1"/>
      <c r="F962" s="1"/>
    </row>
    <row r="963" spans="1:6" ht="15.75" customHeight="1" x14ac:dyDescent="0.35">
      <c r="A963" s="1"/>
      <c r="B963" s="1"/>
      <c r="C963" s="1"/>
      <c r="D963" s="1"/>
      <c r="E963" s="1"/>
      <c r="F963" s="1"/>
    </row>
    <row r="964" spans="1:6" ht="15.75" customHeight="1" x14ac:dyDescent="0.35">
      <c r="A964" s="1"/>
      <c r="B964" s="1"/>
      <c r="C964" s="1"/>
      <c r="D964" s="1"/>
      <c r="E964" s="1"/>
      <c r="F964" s="1"/>
    </row>
    <row r="965" spans="1:6" ht="15.75" customHeight="1" x14ac:dyDescent="0.35">
      <c r="A965" s="1"/>
      <c r="B965" s="1"/>
      <c r="C965" s="1"/>
      <c r="D965" s="1"/>
      <c r="E965" s="1"/>
      <c r="F965" s="1"/>
    </row>
    <row r="966" spans="1:6" ht="15.75" customHeight="1" x14ac:dyDescent="0.35">
      <c r="A966" s="1"/>
      <c r="B966" s="1"/>
      <c r="C966" s="1"/>
      <c r="D966" s="1"/>
      <c r="E966" s="1"/>
      <c r="F966" s="1"/>
    </row>
    <row r="967" spans="1:6" ht="15.75" customHeight="1" x14ac:dyDescent="0.35">
      <c r="A967" s="1"/>
      <c r="B967" s="1"/>
      <c r="C967" s="1"/>
      <c r="D967" s="1"/>
      <c r="E967" s="1"/>
      <c r="F967" s="1"/>
    </row>
    <row r="968" spans="1:6" ht="15.75" customHeight="1" x14ac:dyDescent="0.35">
      <c r="A968" s="1"/>
      <c r="B968" s="1"/>
      <c r="C968" s="1"/>
      <c r="D968" s="1"/>
      <c r="E968" s="1"/>
      <c r="F968" s="1"/>
    </row>
    <row r="969" spans="1:6" ht="15.75" customHeight="1" x14ac:dyDescent="0.35">
      <c r="A969" s="1"/>
      <c r="B969" s="1"/>
      <c r="C969" s="1"/>
      <c r="D969" s="1"/>
      <c r="E969" s="1"/>
      <c r="F969" s="1"/>
    </row>
    <row r="970" spans="1:6" ht="15.75" customHeight="1" x14ac:dyDescent="0.35">
      <c r="A970" s="1"/>
      <c r="B970" s="1"/>
      <c r="C970" s="1"/>
      <c r="D970" s="1"/>
      <c r="E970" s="1"/>
      <c r="F970" s="1"/>
    </row>
    <row r="971" spans="1:6" ht="15.75" customHeight="1" x14ac:dyDescent="0.35">
      <c r="A971" s="1"/>
      <c r="B971" s="1"/>
      <c r="C971" s="1"/>
      <c r="D971" s="1"/>
      <c r="E971" s="1"/>
      <c r="F971" s="1"/>
    </row>
    <row r="972" spans="1:6" ht="15.75" customHeight="1" x14ac:dyDescent="0.35">
      <c r="A972" s="1"/>
      <c r="B972" s="1"/>
      <c r="C972" s="1"/>
      <c r="D972" s="1"/>
      <c r="E972" s="1"/>
      <c r="F972" s="1"/>
    </row>
    <row r="973" spans="1:6" ht="15.75" customHeight="1" x14ac:dyDescent="0.35">
      <c r="A973" s="1"/>
      <c r="B973" s="1"/>
      <c r="C973" s="1"/>
      <c r="D973" s="1"/>
      <c r="E973" s="1"/>
      <c r="F973" s="1"/>
    </row>
    <row r="974" spans="1:6" ht="15.75" customHeight="1" x14ac:dyDescent="0.35">
      <c r="A974" s="1"/>
      <c r="B974" s="1"/>
      <c r="C974" s="1"/>
      <c r="D974" s="1"/>
      <c r="E974" s="1"/>
      <c r="F974" s="1"/>
    </row>
    <row r="975" spans="1:6" ht="15.75" customHeight="1" x14ac:dyDescent="0.35">
      <c r="A975" s="1"/>
      <c r="B975" s="1"/>
      <c r="C975" s="1"/>
      <c r="D975" s="1"/>
      <c r="E975" s="1"/>
      <c r="F975" s="1"/>
    </row>
    <row r="976" spans="1:6" ht="15.75" customHeight="1" x14ac:dyDescent="0.35">
      <c r="A976" s="1"/>
      <c r="B976" s="1"/>
      <c r="C976" s="1"/>
      <c r="D976" s="1"/>
      <c r="E976" s="1"/>
      <c r="F976" s="1"/>
    </row>
    <row r="977" spans="1:6" ht="15.75" customHeight="1" x14ac:dyDescent="0.35">
      <c r="A977" s="1"/>
      <c r="B977" s="1"/>
      <c r="C977" s="1"/>
      <c r="D977" s="1"/>
      <c r="E977" s="1"/>
      <c r="F977" s="1"/>
    </row>
    <row r="978" spans="1:6" ht="15.75" customHeight="1" x14ac:dyDescent="0.35">
      <c r="A978" s="1"/>
      <c r="B978" s="1"/>
      <c r="C978" s="1"/>
      <c r="D978" s="1"/>
      <c r="E978" s="1"/>
      <c r="F978" s="1"/>
    </row>
    <row r="979" spans="1:6" ht="15.75" customHeight="1" x14ac:dyDescent="0.35">
      <c r="A979" s="1"/>
      <c r="B979" s="1"/>
      <c r="C979" s="1"/>
      <c r="D979" s="1"/>
      <c r="E979" s="1"/>
      <c r="F979" s="1"/>
    </row>
    <row r="980" spans="1:6" ht="15.75" customHeight="1" x14ac:dyDescent="0.35">
      <c r="A980" s="1"/>
      <c r="B980" s="1"/>
      <c r="C980" s="1"/>
      <c r="D980" s="1"/>
      <c r="E980" s="1"/>
      <c r="F980" s="1"/>
    </row>
    <row r="981" spans="1:6" ht="15.75" customHeight="1" x14ac:dyDescent="0.35">
      <c r="A981" s="1"/>
      <c r="B981" s="1"/>
      <c r="C981" s="1"/>
      <c r="D981" s="1"/>
      <c r="E981" s="1"/>
      <c r="F981" s="1"/>
    </row>
    <row r="982" spans="1:6" ht="15.75" customHeight="1" x14ac:dyDescent="0.35">
      <c r="A982" s="1"/>
      <c r="B982" s="1"/>
      <c r="C982" s="1"/>
      <c r="D982" s="1"/>
      <c r="E982" s="1"/>
      <c r="F982" s="1"/>
    </row>
    <row r="983" spans="1:6" ht="15.75" customHeight="1" x14ac:dyDescent="0.35">
      <c r="A983" s="1"/>
      <c r="B983" s="1"/>
      <c r="C983" s="1"/>
      <c r="D983" s="1"/>
      <c r="E983" s="1"/>
      <c r="F983" s="1"/>
    </row>
    <row r="984" spans="1:6" ht="15.75" customHeight="1" x14ac:dyDescent="0.35">
      <c r="A984" s="1"/>
      <c r="B984" s="1"/>
      <c r="C984" s="1"/>
      <c r="D984" s="1"/>
      <c r="E984" s="1"/>
      <c r="F984" s="1"/>
    </row>
    <row r="985" spans="1:6" ht="15.75" customHeight="1" x14ac:dyDescent="0.35">
      <c r="A985" s="1"/>
      <c r="B985" s="1"/>
      <c r="C985" s="1"/>
      <c r="D985" s="1"/>
      <c r="E985" s="1"/>
      <c r="F985" s="1"/>
    </row>
    <row r="986" spans="1:6" ht="15.75" customHeight="1" x14ac:dyDescent="0.35">
      <c r="A986" s="1"/>
      <c r="B986" s="1"/>
      <c r="C986" s="1"/>
      <c r="D986" s="1"/>
      <c r="E986" s="1"/>
      <c r="F986" s="1"/>
    </row>
    <row r="987" spans="1:6" ht="15.75" customHeight="1" x14ac:dyDescent="0.35">
      <c r="A987" s="1"/>
      <c r="B987" s="1"/>
      <c r="C987" s="1"/>
      <c r="D987" s="1"/>
      <c r="E987" s="1"/>
      <c r="F987" s="1"/>
    </row>
    <row r="988" spans="1:6" ht="15.75" customHeight="1" x14ac:dyDescent="0.35">
      <c r="A988" s="1"/>
      <c r="B988" s="1"/>
      <c r="C988" s="1"/>
      <c r="D988" s="1"/>
      <c r="E988" s="1"/>
      <c r="F988" s="1"/>
    </row>
    <row r="989" spans="1:6" ht="15.75" customHeight="1" x14ac:dyDescent="0.35">
      <c r="A989" s="1"/>
      <c r="B989" s="1"/>
      <c r="C989" s="1"/>
      <c r="D989" s="1"/>
      <c r="E989" s="1"/>
      <c r="F989" s="1"/>
    </row>
    <row r="990" spans="1:6" ht="15.75" customHeight="1" x14ac:dyDescent="0.35">
      <c r="A990" s="1"/>
      <c r="B990" s="1"/>
      <c r="C990" s="1"/>
      <c r="D990" s="1"/>
      <c r="E990" s="1"/>
      <c r="F990" s="1"/>
    </row>
    <row r="991" spans="1:6" ht="15.75" customHeight="1" x14ac:dyDescent="0.35">
      <c r="A991" s="1"/>
      <c r="B991" s="1"/>
      <c r="C991" s="1"/>
      <c r="D991" s="1"/>
      <c r="E991" s="1"/>
      <c r="F991" s="1"/>
    </row>
    <row r="992" spans="1:6" ht="15.75" customHeight="1" x14ac:dyDescent="0.35">
      <c r="A992" s="1"/>
      <c r="B992" s="1"/>
      <c r="C992" s="1"/>
      <c r="D992" s="1"/>
      <c r="E992" s="1"/>
      <c r="F992" s="1"/>
    </row>
    <row r="993" spans="1:6" ht="15.75" customHeight="1" x14ac:dyDescent="0.35">
      <c r="A993" s="1"/>
      <c r="B993" s="1"/>
      <c r="C993" s="1"/>
      <c r="D993" s="1"/>
      <c r="E993" s="1"/>
      <c r="F993" s="1"/>
    </row>
    <row r="994" spans="1:6" ht="15.75" customHeight="1" x14ac:dyDescent="0.35">
      <c r="A994" s="1"/>
      <c r="B994" s="1"/>
      <c r="C994" s="1"/>
      <c r="D994" s="1"/>
      <c r="E994" s="1"/>
      <c r="F994" s="1"/>
    </row>
    <row r="995" spans="1:6" ht="15.75" customHeight="1" x14ac:dyDescent="0.35">
      <c r="A995" s="1"/>
      <c r="B995" s="1"/>
      <c r="C995" s="1"/>
      <c r="D995" s="1"/>
      <c r="E995" s="1"/>
      <c r="F995" s="1"/>
    </row>
    <row r="996" spans="1:6" ht="15.75" customHeight="1" x14ac:dyDescent="0.35">
      <c r="A996" s="1"/>
      <c r="B996" s="1"/>
      <c r="C996" s="1"/>
      <c r="D996" s="1"/>
      <c r="E996" s="1"/>
      <c r="F996" s="1"/>
    </row>
    <row r="997" spans="1:6" ht="15.75" customHeight="1" x14ac:dyDescent="0.35">
      <c r="A997" s="1"/>
      <c r="B997" s="1"/>
      <c r="C997" s="1"/>
      <c r="D997" s="1"/>
      <c r="E997" s="1"/>
      <c r="F997" s="1"/>
    </row>
    <row r="998" spans="1:6" ht="15.75" customHeight="1" x14ac:dyDescent="0.35">
      <c r="A998" s="1"/>
      <c r="B998" s="1"/>
      <c r="C998" s="1"/>
      <c r="D998" s="1"/>
      <c r="E998" s="1"/>
      <c r="F998" s="1"/>
    </row>
    <row r="999" spans="1:6" ht="15.75" customHeight="1" x14ac:dyDescent="0.35">
      <c r="A999" s="1"/>
      <c r="B999" s="1"/>
      <c r="C999" s="1"/>
      <c r="D999" s="1"/>
      <c r="E999" s="1"/>
      <c r="F999" s="1"/>
    </row>
    <row r="1000" spans="1:6" ht="15.75" customHeight="1" x14ac:dyDescent="0.35">
      <c r="A1000" s="1"/>
      <c r="B1000" s="1"/>
      <c r="C1000" s="1"/>
      <c r="D1000" s="1"/>
      <c r="E1000" s="1"/>
      <c r="F1000" s="1"/>
    </row>
  </sheetData>
  <mergeCells count="9">
    <mergeCell ref="A3:A26"/>
    <mergeCell ref="A53:A77"/>
    <mergeCell ref="A1:E1"/>
    <mergeCell ref="B3:B26"/>
    <mergeCell ref="B53:B77"/>
    <mergeCell ref="A80:A93"/>
    <mergeCell ref="B80:B93"/>
    <mergeCell ref="A29:A50"/>
    <mergeCell ref="B29:B50"/>
  </mergeCells>
  <pageMargins left="0.75" right="0.75" top="1" bottom="1" header="0" footer="0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Requerimientos</vt:lpstr>
      <vt:lpstr>Product Backlog</vt:lpstr>
      <vt:lpstr>Microservicios</vt:lpstr>
      <vt:lpstr>Sprints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Andres y Kevin computador</cp:lastModifiedBy>
  <dcterms:created xsi:type="dcterms:W3CDTF">2026-09-16T02:58:03Z</dcterms:created>
  <dcterms:modified xsi:type="dcterms:W3CDTF">2026-10-07T11:34:49Z</dcterms:modified>
</cp:coreProperties>
</file>